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409079104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a92d3f1c8b470d"/>
    <x:sheet xmlns:r="http://schemas.openxmlformats.org/officeDocument/2006/relationships" name="RTM" sheetId="2" r:id="Ree9eaeaeb7ba4aac"/>
    <x:sheet xmlns:r="http://schemas.openxmlformats.org/officeDocument/2006/relationships" name="Requirements" sheetId="3" r:id="Rcbc64601c2e343bd"/>
    <x:sheet xmlns:r="http://schemas.openxmlformats.org/officeDocument/2006/relationships" name="Open_Items" sheetId="4" r:id="Rc1281cc3af734397"/>
    <x:sheet xmlns:r="http://schemas.openxmlformats.org/officeDocument/2006/relationships" name="Legend" sheetId="5" r:id="R925df0862f41405f"/>
    <x:sheet xmlns:r="http://schemas.openxmlformats.org/officeDocument/2006/relationships" name="Trace_Map" sheetId="6" r:id="Rb6088fef0e88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24"/>
      <x:color rgb="FF16324F"/>
      <x:name val="Carlito"/>
    </x:font>
    <x:font>
      <x:sz val="11"/>
      <x:color rgb="FF7C2D12"/>
      <x:name val="Carlito"/>
    </x:font>
    <x:font>
      <x:b/>
      <x:sz val="11"/>
      <x:color rgb="FFB91C1C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475569"/>
      <x:name val="Aptos"/>
    </x:font>
    <x:font>
      <x:b/>
      <x:sz val="11"/>
      <x:color rgb="FFFFFFFF"/>
      <x:name val="Aptos"/>
    </x:font>
    <x:font>
      <x:b/>
      <x:sz val="24"/>
      <x:color rgb="FF16324F"/>
      <x:name val="Aptos"/>
    </x:font>
    <x:font>
      <x:sz val="11"/>
      <x:color rgb="FF7C2D12"/>
      <x:name val="Aptos"/>
    </x:font>
    <x:font>
      <x:b/>
      <x:sz val="11"/>
      <x:color rgb="FFB91C1C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2E8F0"/>
      </x:patternFill>
    </x:fill>
    <x:fill>
      <x:patternFill patternType="solid">
        <x:fgColor rgb="FF0E7490"/>
      </x:patternFill>
    </x:fill>
    <x:fill>
      <x:patternFill patternType="solid">
        <x:fgColor rgb="FFF8FAFC"/>
      </x:patternFill>
    </x:fill>
    <x:fill>
      <x:patternFill patternType="solid">
        <x:fgColor rgb="FFFFF3CD"/>
      </x:patternFill>
    </x:fill>
    <x:fill>
      <x:patternFill patternType="solid">
        <x:fgColor rgb="FFFEE2E2"/>
      </x:patternFill>
    </x:fill>
    <x:fill>
      <x:patternFill patternType="solid">
        <x:fgColor rgb="FFB91C1C"/>
      </x:patternFill>
    </x:fill>
    <x:fill>
      <x:patternFill patternType="solid">
        <x:fgColor rgb="FFFFF7ED"/>
      </x:patternFill>
    </x:fill>
  </x:fills>
  <x:borders count="16">
    <x:border/>
    <x:border>
      <x:left style="medium">
        <x:color rgb="FFCBD5E1"/>
      </x:left>
      <x:top style="medium">
        <x:color rgb="FFCBD5E1"/>
      </x:top>
    </x:border>
    <x:border>
      <x:right style="medium">
        <x:color rgb="FFCBD5E1"/>
      </x:right>
      <x:top style="medium">
        <x:color rgb="FFCBD5E1"/>
      </x:top>
    </x:border>
    <x:border>
      <x:left style="medium">
        <x:color rgb="FFCBD5E1"/>
      </x:left>
    </x:border>
    <x:border>
      <x:right style="medium">
        <x:color rgb="FFCBD5E1"/>
      </x:right>
    </x:border>
    <x:border>
      <x:left style="medium">
        <x:color rgb="FFCBD5E1"/>
      </x:left>
      <x:bottom style="medium">
        <x:color rgb="FFCBD5E1"/>
      </x:bottom>
    </x:border>
    <x:border>
      <x:right style="medium">
        <x:color rgb="FFCBD5E1"/>
      </x:right>
      <x:bottom style="medium">
        <x:color rgb="FFCBD5E1"/>
      </x:bottom>
    </x:border>
    <x:border>
      <x:left style="medium">
        <x:color rgb="FF16324F"/>
      </x:left>
      <x:top style="medium">
        <x:color rgb="FF16324F"/>
      </x:top>
      <x:bottom style="medium">
        <x:color rgb="FF16324F"/>
      </x:bottom>
    </x:border>
    <x:border>
      <x:right style="medium">
        <x:color rgb="FF16324F"/>
      </x:right>
      <x:top style="medium">
        <x:color rgb="FF16324F"/>
      </x:top>
      <x:bottom style="medium">
        <x:color rgb="FF16324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top style="medium">
        <x:color rgb="FF16324F"/>
      </x:top>
      <x:bottom style="medium">
        <x:color rgb="FF16324F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4" fillId="7" borderId="3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horizontal="center" vertical="center"/>
    </x:xf>
    <x:xf numFmtId="0" fontId="4" fillId="7" borderId="5" xfId="0" applyNumberFormat="1" applyFont="1" applyFill="1" applyBorder="1" applyAlignment="1">
      <x:alignment horizontal="center" vertical="center"/>
    </x:xf>
    <x:xf numFmtId="0" fontId="4" fillId="7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 applyAlignment="1">
      <x:alignment horizontal="center" vertical="center"/>
    </x:xf>
    <x:xf numFmtId="0" fontId="11" fillId="6" borderId="2" xfId="0" applyNumberFormat="1" applyFont="1" applyFill="1" applyBorder="1" applyAlignment="1">
      <x:alignment horizontal="center" vertic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11" fillId="7" borderId="2" xfId="0" applyNumberFormat="1" applyFont="1" applyFill="1" applyBorder="1" applyAlignment="1">
      <x:alignment horizontal="center" vertical="center"/>
    </x:xf>
    <x:xf numFmtId="0" fontId="11" fillId="5" borderId="3" xfId="0" applyNumberFormat="1" applyFont="1" applyFill="1" applyBorder="1" applyAlignment="1">
      <x:alignment horizontal="center" vertical="center"/>
    </x:xf>
    <x:xf numFmtId="0" fontId="11" fillId="5" borderId="4" xfId="0" applyNumberFormat="1" applyFont="1" applyFill="1" applyBorder="1" applyAlignment="1">
      <x:alignment horizontal="center" vertical="center"/>
    </x:xf>
    <x:xf numFmtId="0" fontId="11" fillId="6" borderId="3" xfId="0" applyNumberFormat="1" applyFont="1" applyFill="1" applyBorder="1" applyAlignment="1">
      <x:alignment horizontal="center" vertical="center"/>
    </x:xf>
    <x:xf numFmtId="0" fontId="11" fillId="6" borderId="4" xfId="0" applyNumberFormat="1" applyFont="1" applyFill="1" applyBorder="1" applyAlignment="1">
      <x:alignment horizontal="center" vertical="center"/>
    </x:xf>
    <x:xf numFmtId="0" fontId="11" fillId="7" borderId="3" xfId="0" applyNumberFormat="1" applyFont="1" applyFill="1" applyBorder="1" applyAlignment="1">
      <x:alignment horizontal="center" vertical="center"/>
    </x:xf>
    <x:xf numFmtId="0" fontId="11" fillId="7" borderId="4" xfId="0" applyNumberFormat="1" applyFont="1" applyFill="1" applyBorder="1" applyAlignment="1">
      <x:alignment horizontal="center" vertical="center"/>
    </x:xf>
    <x:xf numFmtId="0" fontId="11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6" borderId="5" xfId="0" applyNumberFormat="1" applyFont="1" applyFill="1" applyBorder="1" applyAlignment="1">
      <x:alignment horizontal="center" vertical="center"/>
    </x:xf>
    <x:xf numFmtId="0" fontId="11" fillId="6" borderId="6" xfId="0" applyNumberFormat="1" applyFont="1" applyFill="1" applyBorder="1" applyAlignment="1">
      <x:alignment horizontal="center" vertical="center"/>
    </x:xf>
    <x:xf numFmtId="0" fontId="1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0" fillId="4" borderId="7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10" fillId="8" borderId="0" xfId="0" applyNumberFormat="1" applyFont="1" applyFill="1" applyBorder="1"/>
    <x:xf numFmtId="0" fontId="13" fillId="9" borderId="0" xfId="0" applyNumberFormat="1" applyFont="1" applyFill="1" applyBorder="1" applyAlignment="1">
      <x:alignment horizontal="center" wrapText="1"/>
    </x:xf>
    <x:xf numFmtId="0" fontId="8" fillId="9" borderId="0" xfId="0" applyNumberFormat="1" applyFont="1" applyFill="1" applyBorder="1" applyAlignment="1">
      <x:alignment wrapText="1"/>
    </x:xf>
    <x:xf numFmtId="0" fontId="3" fillId="4" borderId="15" xfId="0" applyNumberFormat="1" applyFont="1" applyFill="1" applyBorder="1"/>
    <x:xf numFmtId="0" fontId="3" fillId="4" borderId="15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7C2D12"/>
      </x:font>
      <x:fill>
        <x:patternFill patternType="solid">
          <x:bgColor rgb="FFFFF3CD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7C2D12"/>
      </x:font>
      <x:fill>
        <x:patternFill patternType="solid">
          <x:bgColor rgb="FFFFF3CD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7C2D12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e7f5fc0a64f13" /><Relationship Type="http://schemas.openxmlformats.org/officeDocument/2006/relationships/theme" Target="/xl/theme/theme1.xml" Id="Rc87a1e9e1c034871" /><Relationship Type="http://schemas.openxmlformats.org/officeDocument/2006/relationships/sharedStrings" Target="/xl/sharedStrings.xml" Id="Rcbdeb73f82ec4a55" /><Relationship Type="http://schemas.openxmlformats.org/officeDocument/2006/relationships/worksheet" Target="/xl/worksheets/sheet1.xml" Id="Re2a92d3f1c8b470d" /><Relationship Type="http://schemas.openxmlformats.org/officeDocument/2006/relationships/worksheet" Target="/xl/worksheets/sheet2.xml" Id="Ree9eaeaeb7ba4aac" /><Relationship Type="http://schemas.openxmlformats.org/officeDocument/2006/relationships/worksheet" Target="/xl/worksheets/sheet3.xml" Id="Rcbc64601c2e343bd" /><Relationship Type="http://schemas.openxmlformats.org/officeDocument/2006/relationships/worksheet" Target="/xl/worksheets/sheet4.xml" Id="Rc1281cc3af734397" /><Relationship Type="http://schemas.openxmlformats.org/officeDocument/2006/relationships/worksheet" Target="/xl/worksheets/sheet5.xml" Id="R925df0862f41405f" /><Relationship Type="http://schemas.openxmlformats.org/officeDocument/2006/relationships/worksheet" Target="/xl/worksheets/sheet6.xml" Id="Rb6088fef0e8842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2bcafd68814d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Test readiness by disposition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'Summary'!$A$15:$A$18</c:f>
              <c:strCache>
                <c:ptCount val="0"/>
              </c:strCache>
            </c:strRef>
          </c:cat>
          <c:val>
            <c:numRef>
              <c:f>'Summary'!$B$15:$B$18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2bcafd68814d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TMTable" displayName="RTMTable" ref="A4:O58" headerRowCount="1" totalsRowCount="0" totalsRowShown="0">
  <x:tableColumns count="15">
    <x:tableColumn id="1" name="Test ID"/>
    <x:tableColumn id="2" name="Area"/>
    <x:tableColumn id="3" name="Summary"/>
    <x:tableColumn id="4" name="Requirement ID"/>
    <x:tableColumn id="5" name="ASPICE"/>
    <x:tableColumn id="6" name="Priority"/>
    <x:tableColumn id="7" name="Level"/>
    <x:tableColumn id="8" name="Method"/>
    <x:tableColumn id="9" name="Disposition"/>
    <x:tableColumn id="10" name="Automation"/>
    <x:tableColumn id="11" name="Precondition"/>
    <x:tableColumn id="12" name="Expected Independent Oracle"/>
    <x:tableColumn id="13" name="Execution Result"/>
    <x:tableColumn id="14" name="Evidence Link"/>
    <x:tableColumn id="15" name="Review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RequirementCoverageTable" displayName="RequirementCoverageTable" ref="A3:F43" headerRowCount="1" totalsRowCount="0" totalsRowShown="0">
  <x:tableColumns count="6">
    <x:tableColumn id="1" name="Requirement ID"/>
    <x:tableColumn id="2" name="Area"/>
    <x:tableColumn id="3" name="Linked Tests"/>
    <x:tableColumn id="4" name="P0 Tests"/>
    <x:tableColumn id="5" name="Coverage State"/>
    <x:tableColumn id="6" name="Review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OpenItemsTable" displayName="OpenItemsTable" ref="A3:G8" headerRowCount="1" totalsRowCount="0" totalsRowShown="0">
  <x:tableColumns count="7">
    <x:tableColumn id="1" name="ID"/>
    <x:tableColumn id="2" name="Severity"/>
    <x:tableColumn id="3" name="Type"/>
    <x:tableColumn id="4" name="Finding"/>
    <x:tableColumn id="5" name="Impact"/>
    <x:tableColumn id="6" name="Required Action"/>
    <x:tableColumn id="7" name="Stat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2" name="TraceMapTable" displayName="TraceMapTable" ref="A3:D66" headerRowCount="1" totalsRowCount="0" totalsRowShown="0">
  <x:tableColumns count="4">
    <x:tableColumn id="1" name="Requirement ID"/>
    <x:tableColumn id="2" name="Test ID"/>
    <x:tableColumn id="3" name="Priority"/>
    <x:tableColumn id="4" name="Are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b27e932d2745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d54a4d16324c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8510a0cffa4a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54c886d37141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1c0f96a30a54c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0" customHeight="1">
      <x:c r="A1" s="64" t="str">
        <x:v>BMS–EVSE–OTA ASPICE Traceability Dashboard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</x:row>
    <x:row r="2">
      <x:c r="A2" s="66" t="str">
        <x:v>QA baseline: Reviewed Final 54 cases | READY means automation readiness, not a PASS verdict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</x:row>
    <x:row r="4">
      <x:c r="A4" s="67" t="str">
        <x:v>TOTAL TESTS</x:v>
      </x:c>
      <x:c r="B4" s="67"/>
      <x:c r="C4" s="65"/>
      <x:c r="D4" s="67" t="str">
        <x:v>P0 TESTS</x:v>
      </x:c>
      <x:c r="E4" s="67"/>
      <x:c r="F4" s="65"/>
      <x:c r="G4" s="67" t="str">
        <x:v>REQUIREMENT GAPS</x:v>
      </x:c>
      <x:c r="H4" s="67"/>
      <x:c r="I4" s="65"/>
      <x:c r="J4" s="67" t="str">
        <x:v>CONTRACT WAITING</x:v>
      </x:c>
      <x:c r="K4" s="67"/>
    </x:row>
    <x:row r="5">
      <x:c r="A5" s="68" t="n">
        <x:f>COUNTA(RTM!$A$5:$A$58)</x:f>
        <x:v>54</x:v>
      </x:c>
      <x:c r="B5" s="69"/>
      <x:c r="C5" s="65"/>
      <x:c r="D5" s="68" t="n">
        <x:f>COUNTIF(RTM!$F$5:$F$58,"P0")</x:f>
        <x:v>36</x:v>
      </x:c>
      <x:c r="E5" s="69"/>
      <x:c r="F5" s="65"/>
      <x:c r="G5" s="70" t="n">
        <x:f>COUNTIF(RTM!$I$5:$I$58,"GAP_REQUIREMENT")</x:f>
        <x:v>3</x:v>
      </x:c>
      <x:c r="H5" s="71"/>
      <x:c r="I5" s="65"/>
      <x:c r="J5" s="72" t="n">
        <x:f>COUNTIF(RTM!$I$5:$I$58,"CONTRACT_WAITING")</x:f>
        <x:v>5</x:v>
      </x:c>
      <x:c r="K5" s="73"/>
    </x:row>
    <x:row r="6">
      <x:c r="A6" s="74"/>
      <x:c r="B6" s="75"/>
      <x:c r="C6" s="65"/>
      <x:c r="D6" s="74"/>
      <x:c r="E6" s="75"/>
      <x:c r="F6" s="65"/>
      <x:c r="G6" s="76"/>
      <x:c r="H6" s="77"/>
      <x:c r="I6" s="65"/>
      <x:c r="J6" s="78"/>
      <x:c r="K6" s="79"/>
    </x:row>
    <x:row r="7">
      <x:c r="A7" s="80"/>
      <x:c r="B7" s="81"/>
      <x:c r="C7" s="65"/>
      <x:c r="D7" s="80"/>
      <x:c r="E7" s="81"/>
      <x:c r="F7" s="65"/>
      <x:c r="G7" s="82"/>
      <x:c r="H7" s="83"/>
      <x:c r="I7" s="65"/>
      <x:c r="J7" s="84"/>
      <x:c r="K7" s="85"/>
    </x:row>
    <x:row r="8">
      <x:c r="A8" s="65"/>
      <x:c r="B8" s="65"/>
      <x:c r="C8" s="65"/>
      <x:c r="D8" s="65"/>
      <x:c r="E8" s="65"/>
      <x:c r="F8" s="65"/>
      <x:c r="G8" s="65"/>
      <x:c r="H8" s="65"/>
      <x:c r="I8" s="65"/>
      <x:c r="J8" s="65"/>
      <x:c r="K8" s="65"/>
    </x:row>
    <x:row r="9">
      <x:c r="A9" s="65"/>
      <x:c r="B9" s="65"/>
      <x:c r="C9" s="65"/>
      <x:c r="D9" s="65"/>
      <x:c r="E9" s="65"/>
      <x:c r="F9" s="65"/>
      <x:c r="G9" s="65"/>
      <x:c r="H9" s="65"/>
      <x:c r="I9" s="65"/>
      <x:c r="J9" s="65"/>
      <x:c r="K9" s="65"/>
    </x:row>
    <x:row r="10">
      <x:c r="A10" s="86" t="str">
        <x:v>Qualification statement</x:v>
      </x:c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</x:row>
    <x:row r="11">
      <x:c r="A11" s="87" t="str">
        <x:v>Formal PASS requires product SHA + ELF/BIN SHA-256 + OpenOCD verify_image + required physical oracle. Current workbook is NOT EXECUTED.</x:v>
      </x:c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</x:row>
    <x:row r="14">
      <x:c r="A14" s="88" t="str">
        <x:v>Disposition</x:v>
      </x:c>
      <x:c r="B14" s="89" t="str">
        <x:v>Count</x:v>
      </x:c>
      <x:c r="C14" s="65"/>
      <x:c r="D14" s="65"/>
      <x:c r="E14" s="65"/>
      <x:c r="F14" s="65"/>
      <x:c r="G14" s="65"/>
      <x:c r="H14" s="65"/>
      <x:c r="I14" s="65"/>
      <x:c r="J14" s="65"/>
      <x:c r="K14" s="65"/>
    </x:row>
    <x:row r="15">
      <x:c r="A15" s="90" t="str">
        <x:v>READY</x:v>
      </x:c>
      <x:c r="B15" s="91" t="n">
        <x:f>COUNTIF(RTM!$I$5:$I$58,A15)</x:f>
        <x:v>29</x:v>
      </x:c>
      <x:c r="C15" s="65"/>
      <x:c r="D15" s="65"/>
      <x:c r="E15" s="65"/>
      <x:c r="F15" s="65"/>
      <x:c r="G15" s="65"/>
      <x:c r="H15" s="65"/>
      <x:c r="I15" s="65"/>
      <x:c r="J15" s="65"/>
      <x:c r="K15" s="65"/>
    </x:row>
    <x:row r="16">
      <x:c r="A16" s="92" t="str">
        <x:v>READY_HIL_CONDITIONAL</x:v>
      </x:c>
      <x:c r="B16" s="93" t="n">
        <x:f>COUNTIF(RTM!$I$5:$I$58,A16)</x:f>
        <x:v>17</x:v>
      </x:c>
      <x:c r="C16" s="65"/>
      <x:c r="D16" s="65"/>
      <x:c r="E16" s="65"/>
      <x:c r="F16" s="65"/>
      <x:c r="G16" s="65"/>
      <x:c r="H16" s="65"/>
      <x:c r="I16" s="65"/>
      <x:c r="J16" s="65"/>
      <x:c r="K16" s="65"/>
    </x:row>
    <x:row r="17">
      <x:c r="A17" s="92" t="str">
        <x:v>GAP_REQUIREMENT</x:v>
      </x:c>
      <x:c r="B17" s="93" t="n">
        <x:f>COUNTIF(RTM!$I$5:$I$58,A17)</x:f>
        <x:v>3</x:v>
      </x:c>
      <x:c r="C17" s="65"/>
      <x:c r="D17" s="65"/>
      <x:c r="E17" s="65"/>
      <x:c r="F17" s="65"/>
      <x:c r="G17" s="65"/>
      <x:c r="H17" s="65"/>
      <x:c r="I17" s="65"/>
      <x:c r="J17" s="65"/>
      <x:c r="K17" s="65"/>
    </x:row>
    <x:row r="18">
      <x:c r="A18" s="94" t="str">
        <x:v>CONTRACT_WAITING</x:v>
      </x:c>
      <x:c r="B18" s="95" t="n">
        <x:f>COUNTIF(RTM!$I$5:$I$58,A18)</x:f>
        <x:v>5</x:v>
      </x:c>
      <x:c r="C18" s="65"/>
      <x:c r="D18" s="65"/>
      <x:c r="E18" s="65"/>
      <x:c r="F18" s="65"/>
      <x:c r="G18" s="65"/>
      <x:c r="H18" s="65"/>
      <x:c r="I18" s="65"/>
      <x:c r="J18" s="65"/>
      <x:c r="K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</x:row>
    <x:row r="29">
      <x:c r="A29" s="96" t="str">
        <x:v>Open quality gates</x:v>
      </x:c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</x:row>
    <x:row r="30" ht="30" customHeight="1">
      <x:c r="A30" s="97" t="str">
        <x:v>1</x:v>
      </x:c>
      <x:c r="B30" s="98" t="str">
        <x:v>EVSE linker currently reaches 0x08200000 and overlaps the approved OTA staging boundary at 0x08100000.</x:v>
      </x:c>
      <x:c r="C30" s="98"/>
      <x:c r="D30" s="98"/>
      <x:c r="E30" s="98"/>
      <x:c r="F30" s="98"/>
      <x:c r="G30" s="98"/>
      <x:c r="H30" s="98"/>
      <x:c r="I30" s="98"/>
      <x:c r="J30" s="98"/>
      <x:c r="K30" s="98"/>
    </x:row>
    <x:row r="31" ht="30" customHeight="1">
      <x:c r="A31" s="97" t="str">
        <x:v>2</x:v>
      </x:c>
      <x:c r="B31" s="98" t="str">
        <x:v>BMS 1000 ms link requirement may be delayed by common three-sample fault confirmation; HIL must classify the deviation.</x:v>
      </x:c>
      <x:c r="C31" s="98"/>
      <x:c r="D31" s="98"/>
      <x:c r="E31" s="98"/>
      <x:c r="F31" s="98"/>
      <x:c r="G31" s="98"/>
      <x:c r="H31" s="98"/>
      <x:c r="I31" s="98"/>
      <x:c r="J31" s="98"/>
      <x:c r="K31" s="98"/>
    </x:row>
    <x:row r="32" ht="30" customHeight="1">
      <x:c r="A32" s="97" t="str">
        <x:v>3</x:v>
      </x:c>
      <x:c r="B32" s="98" t="str">
        <x:v>OTA version, rollback and target binding are requirement/product gaps.</x:v>
      </x:c>
      <x:c r="C32" s="98"/>
      <x:c r="D32" s="98"/>
      <x:c r="E32" s="98"/>
      <x:c r="F32" s="98"/>
      <x:c r="G32" s="98"/>
      <x:c r="H32" s="98"/>
      <x:c r="I32" s="98"/>
      <x:c r="J32" s="98"/>
      <x:c r="K32" s="98"/>
    </x:row>
    <x:row r="33" ht="30" customHeight="1">
      <x:c r="A33" s="97" t="str">
        <x:v>4</x:v>
      </x:c>
      <x:c r="B33" s="98" t="str">
        <x:v>Gateway tests remain contract-waiting until its source boundary and schema are approved.</x:v>
      </x:c>
      <x:c r="C33" s="98"/>
      <x:c r="D33" s="98"/>
      <x:c r="E33" s="98"/>
      <x:c r="F33" s="98"/>
      <x:c r="G33" s="98"/>
      <x:c r="H33" s="98"/>
      <x:c r="I33" s="98"/>
      <x:c r="J33" s="98"/>
      <x:c r="K33" s="98"/>
    </x:row>
  </x:sheetData>
  <x:mergeCells>
    <x:mergeCell ref="A1:K1"/>
    <x:mergeCell ref="A2:K2"/>
    <x:mergeCell ref="A4:B4"/>
    <x:mergeCell ref="D4:E4"/>
    <x:mergeCell ref="G4:H4"/>
    <x:mergeCell ref="J4:K4"/>
    <x:mergeCell ref="A5:B7"/>
    <x:mergeCell ref="D5:E7"/>
    <x:mergeCell ref="G5:H7"/>
    <x:mergeCell ref="J5:K7"/>
    <x:mergeCell ref="A10:K10"/>
    <x:mergeCell ref="A11:K11"/>
    <x:mergeCell ref="A29:K29"/>
    <x:mergeCell ref="B30:K30"/>
    <x:mergeCell ref="B31:K31"/>
    <x:mergeCell ref="B32:K32"/>
    <x:mergeCell ref="B33:K33"/>
  </x:mergeCells>
  <x:pageMargins left="0.7" right="0.7" top="0.75" bottom="0.75" header="0.3" footer="0.3"/>
  <x:drawing xmlns:r="http://schemas.openxmlformats.org/officeDocument/2006/relationships" r:id="Rc6b27e932d27451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30" hidden="0" customWidth="1"/>
    <x:col min="4" max="4" width="28" hidden="0" customWidth="1"/>
    <x:col min="5" max="5" width="10" hidden="0" customWidth="1"/>
    <x:col min="6" max="6" width="1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  <x:col min="11" max="11" width="44" hidden="0" customWidth="1"/>
    <x:col min="12" max="12" width="44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30" customHeight="1">
      <x:c r="A1" s="3" t="str">
        <x:v>Requirements Traceability Matrix — 54 Jira Tests</x:v>
      </x:c>
    </x:row>
    <x:row r="2">
      <x:c r="A2" s="45" t="str">
        <x:v>Execution Result and Evidence Link are editable. Disposition is design readiness and shall not be used as the execution verdict.</x:v>
      </x:c>
    </x:row>
    <x:row r="4">
      <x:c r="A4" s="50" t="str">
        <x:v>Test ID</x:v>
      </x:c>
      <x:c r="B4" s="101" t="str">
        <x:v>Area</x:v>
      </x:c>
      <x:c r="C4" s="101" t="str">
        <x:v>Summary</x:v>
      </x:c>
      <x:c r="D4" s="101" t="str">
        <x:v>Requirement ID</x:v>
      </x:c>
      <x:c r="E4" s="101" t="str">
        <x:v>ASPICE</x:v>
      </x:c>
      <x:c r="F4" s="101" t="str">
        <x:v>Priority</x:v>
      </x:c>
      <x:c r="G4" s="101" t="str">
        <x:v>Level</x:v>
      </x:c>
      <x:c r="H4" s="101" t="str">
        <x:v>Method</x:v>
      </x:c>
      <x:c r="I4" s="101" t="str">
        <x:v>Disposition</x:v>
      </x:c>
      <x:c r="J4" s="101" t="str">
        <x:v>Automation</x:v>
      </x:c>
      <x:c r="K4" s="101" t="str">
        <x:v>Precondition</x:v>
      </x:c>
      <x:c r="L4" s="101" t="str">
        <x:v>Expected Independent Oracle</x:v>
      </x:c>
      <x:c r="M4" s="101" t="str">
        <x:v>Execution Result</x:v>
      </x:c>
      <x:c r="N4" s="101" t="str">
        <x:v>Evidence Link</x:v>
      </x:c>
      <x:c r="O4" s="51" t="str">
        <x:v>Reviewer</x:v>
      </x:c>
    </x:row>
    <x:row r="5" ht="45" customHeight="1">
      <x:c r="A5" s="103" t="str">
        <x:v>TC-BMS-OV-001</x:v>
      </x:c>
      <x:c r="B5" s="103" t="str">
        <x:v>BMS</x:v>
      </x:c>
      <x:c r="C5" s="103" t="str">
        <x:v>Cell OV detection boundary</x:v>
      </x:c>
      <x:c r="D5" s="103" t="str">
        <x:v>SWRS-BMS-001</x:v>
      </x:c>
      <x:c r="E5" s="103" t="str">
        <x:v>SWE.4</x:v>
      </x:c>
      <x:c r="F5" s="103" t="str">
        <x:v>P0</x:v>
      </x:c>
      <x:c r="G5" s="103" t="str">
        <x:v>Host Unit</x:v>
      </x:c>
      <x:c r="H5" s="103" t="str">
        <x:v>Boundary</x:v>
      </x:c>
      <x:c r="I5" s="103" t="str">
        <x:v>READY</x:v>
      </x:c>
      <x:c r="J5" s="103" t="str">
        <x:v>tests/host/bms/test_bms_safety_host.py</x:v>
      </x:c>
      <x:c r="K5" s="103" t="str">
        <x:v>Pinned product SHA and independent QA oracle are available.</x:v>
      </x:c>
      <x:c r="L5" s="103" t="str">
        <x:v>4199/4200 are normal and 4201 is an OV candidate.</x:v>
      </x:c>
      <x:c r="M5" s="103" t="str">
        <x:v>NOT_EXECUTED</x:v>
      </x:c>
      <x:c r="N5" s="103" t="str"/>
      <x:c r="O5" s="103" t="str"/>
    </x:row>
    <x:row r="6" ht="45" customHeight="1">
      <x:c r="A6" s="103" t="str">
        <x:v>TC-BMS-OV-002</x:v>
      </x:c>
      <x:c r="B6" s="103" t="str">
        <x:v>BMS</x:v>
      </x:c>
      <x:c r="C6" s="103" t="str">
        <x:v>Cell OV confirmation count N-1/N</x:v>
      </x:c>
      <x:c r="D6" s="103" t="str">
        <x:v>SWRS-BMS-007</x:v>
      </x:c>
      <x:c r="E6" s="103" t="str">
        <x:v>SWE.4</x:v>
      </x:c>
      <x:c r="F6" s="103" t="str">
        <x:v>P0</x:v>
      </x:c>
      <x:c r="G6" s="103" t="str">
        <x:v>Host Unit</x:v>
      </x:c>
      <x:c r="H6" s="103" t="str">
        <x:v>State transition</x:v>
      </x:c>
      <x:c r="I6" s="103" t="str">
        <x:v>READY</x:v>
      </x:c>
      <x:c r="J6" s="103" t="str">
        <x:v>tests/host/bms/test_bms_safety_host.py</x:v>
      </x:c>
      <x:c r="K6" s="103" t="str">
        <x:v>Pinned product SHA and independent QA oracle are available.</x:v>
      </x:c>
      <x:c r="L6" s="103" t="str">
        <x:v>Two samples do not latch; the third latches OV.</x:v>
      </x:c>
      <x:c r="M6" s="103" t="str">
        <x:v>NOT_EXECUTED</x:v>
      </x:c>
      <x:c r="N6" s="103" t="str"/>
      <x:c r="O6" s="103" t="str"/>
    </x:row>
    <x:row r="7" ht="45" customHeight="1">
      <x:c r="A7" s="103" t="str">
        <x:v>TC-BMS-OV-003</x:v>
      </x:c>
      <x:c r="B7" s="103" t="str">
        <x:v>BMS</x:v>
      </x:c>
      <x:c r="C7" s="103" t="str">
        <x:v>Cell OV clear hysteresis boundary</x:v>
      </x:c>
      <x:c r="D7" s="103" t="str">
        <x:v>SWRS-BMS-001,SWRS-BMS-008</x:v>
      </x:c>
      <x:c r="E7" s="103" t="str">
        <x:v>SWE.4</x:v>
      </x:c>
      <x:c r="F7" s="103" t="str">
        <x:v>P0</x:v>
      </x:c>
      <x:c r="G7" s="103" t="str">
        <x:v>Host Unit</x:v>
      </x:c>
      <x:c r="H7" s="103" t="str">
        <x:v>Boundary</x:v>
      </x:c>
      <x:c r="I7" s="103" t="str">
        <x:v>READY</x:v>
      </x:c>
      <x:c r="J7" s="103" t="str">
        <x:v>tests/host/bms/test_bms_safety_host.py</x:v>
      </x:c>
      <x:c r="K7" s="103" t="str">
        <x:v>Pinned product SHA and independent QA oracle are available.</x:v>
      </x:c>
      <x:c r="L7" s="103" t="str">
        <x:v>4150 is not a clear candidate; all cells below 4150 start clear hold.</x:v>
      </x:c>
      <x:c r="M7" s="103" t="str">
        <x:v>NOT_EXECUTED</x:v>
      </x:c>
      <x:c r="N7" s="103" t="str"/>
      <x:c r="O7" s="103" t="str"/>
    </x:row>
    <x:row r="8" ht="45" customHeight="1">
      <x:c r="A8" s="103" t="str">
        <x:v>TC-BMS-OV-004</x:v>
      </x:c>
      <x:c r="B8" s="103" t="str">
        <x:v>BMS</x:v>
      </x:c>
      <x:c r="C8" s="103" t="str">
        <x:v>Cell OV clear hold time</x:v>
      </x:c>
      <x:c r="D8" s="103" t="str">
        <x:v>SWRS-BMS-008</x:v>
      </x:c>
      <x:c r="E8" s="103" t="str">
        <x:v>SWE.4</x:v>
      </x:c>
      <x:c r="F8" s="103" t="str">
        <x:v>P0</x:v>
      </x:c>
      <x:c r="G8" s="103" t="str">
        <x:v>Host Unit</x:v>
      </x:c>
      <x:c r="H8" s="103" t="str">
        <x:v>Timing boundary</x:v>
      </x:c>
      <x:c r="I8" s="103" t="str">
        <x:v>READY</x:v>
      </x:c>
      <x:c r="J8" s="103" t="str">
        <x:v>tests/host/bms/test_bms_safety_host.py</x:v>
      </x:c>
      <x:c r="K8" s="103" t="str">
        <x:v>Pinned product SHA and independent QA oracle are available.</x:v>
      </x:c>
      <x:c r="L8" s="103" t="str">
        <x:v>Fault remains before the hold and clears at the approved hold.</x:v>
      </x:c>
      <x:c r="M8" s="103" t="str">
        <x:v>NOT_EXECUTED</x:v>
      </x:c>
      <x:c r="N8" s="103" t="str"/>
      <x:c r="O8" s="103" t="str"/>
    </x:row>
    <x:row r="9" ht="45" customHeight="1">
      <x:c r="A9" s="103" t="str">
        <x:v>TC-BMS-UV-001</x:v>
      </x:c>
      <x:c r="B9" s="103" t="str">
        <x:v>BMS</x:v>
      </x:c>
      <x:c r="C9" s="103" t="str">
        <x:v>Cell UV detect and clear</x:v>
      </x:c>
      <x:c r="D9" s="103" t="str">
        <x:v>SWRS-BMS-002,SWRS-BMS-007</x:v>
      </x:c>
      <x:c r="E9" s="103" t="str">
        <x:v>SWE.4</x:v>
      </x:c>
      <x:c r="F9" s="103" t="str">
        <x:v>P0</x:v>
      </x:c>
      <x:c r="G9" s="103" t="str">
        <x:v>Host Unit</x:v>
      </x:c>
      <x:c r="H9" s="103" t="str">
        <x:v>Boundary</x:v>
      </x:c>
      <x:c r="I9" s="103" t="str">
        <x:v>READY</x:v>
      </x:c>
      <x:c r="J9" s="103" t="str">
        <x:v>tests/host/bms/test_bms_safety_host.py</x:v>
      </x:c>
      <x:c r="K9" s="103" t="str">
        <x:v>Pinned product SHA and independent QA oracle are available.</x:v>
      </x:c>
      <x:c r="L9" s="103" t="str">
        <x:v>Strict detect/clear comparisons and confirmation are observed.</x:v>
      </x:c>
      <x:c r="M9" s="103" t="str">
        <x:v>NOT_EXECUTED</x:v>
      </x:c>
      <x:c r="N9" s="103" t="str"/>
      <x:c r="O9" s="103" t="str"/>
    </x:row>
    <x:row r="10" ht="45" customHeight="1">
      <x:c r="A10" s="103" t="str">
        <x:v>TC-BMS-PACKOV-001</x:v>
      </x:c>
      <x:c r="B10" s="103" t="str">
        <x:v>BMS</x:v>
      </x:c>
      <x:c r="C10" s="103" t="str">
        <x:v>Pack over-voltage detect and clear</x:v>
      </x:c>
      <x:c r="D10" s="103" t="str">
        <x:v>SWRS-BMS-003,SWRS-BMS-007</x:v>
      </x:c>
      <x:c r="E10" s="103" t="str">
        <x:v>SWE.4</x:v>
      </x:c>
      <x:c r="F10" s="103" t="str">
        <x:v>P0</x:v>
      </x:c>
      <x:c r="G10" s="103" t="str">
        <x:v>Host Unit</x:v>
      </x:c>
      <x:c r="H10" s="103" t="str">
        <x:v>Boundary</x:v>
      </x:c>
      <x:c r="I10" s="103" t="str">
        <x:v>READY</x:v>
      </x:c>
      <x:c r="J10" s="103" t="str">
        <x:v>tests/host/bms/test_bms_safety_host.py</x:v>
      </x:c>
      <x:c r="K10" s="103" t="str">
        <x:v>Pinned product SHA and independent QA oracle are available.</x:v>
      </x:c>
      <x:c r="L10" s="103" t="str">
        <x:v>Strict detect/clear comparisons are observed.</x:v>
      </x:c>
      <x:c r="M10" s="103" t="str">
        <x:v>NOT_EXECUTED</x:v>
      </x:c>
      <x:c r="N10" s="103" t="str"/>
      <x:c r="O10" s="103" t="str"/>
    </x:row>
    <x:row r="11" ht="45" customHeight="1">
      <x:c r="A11" s="103" t="str">
        <x:v>TC-BMS-OC-001</x:v>
      </x:c>
      <x:c r="B11" s="103" t="str">
        <x:v>BMS</x:v>
      </x:c>
      <x:c r="C11" s="103" t="str">
        <x:v>Signed over-current absolute threshold</x:v>
      </x:c>
      <x:c r="D11" s="103" t="str">
        <x:v>SWRS-BMS-004</x:v>
      </x:c>
      <x:c r="E11" s="103" t="str">
        <x:v>SWE.4</x:v>
      </x:c>
      <x:c r="F11" s="103" t="str">
        <x:v>P0</x:v>
      </x:c>
      <x:c r="G11" s="103" t="str">
        <x:v>Host Unit</x:v>
      </x:c>
      <x:c r="H11" s="103" t="str">
        <x:v>Boundary</x:v>
      </x:c>
      <x:c r="I11" s="103" t="str">
        <x:v>READY</x:v>
      </x:c>
      <x:c r="J11" s="103" t="str">
        <x:v>tests/host/bms/test_bms_safety_host.py</x:v>
      </x:c>
      <x:c r="K11" s="103" t="str">
        <x:v>Pinned product SHA and independent QA oracle are available.</x:v>
      </x:c>
      <x:c r="L11" s="103" t="str">
        <x:v>Detection uses absolute signed current and strict threshold.</x:v>
      </x:c>
      <x:c r="M11" s="103" t="str">
        <x:v>NOT_EXECUTED</x:v>
      </x:c>
      <x:c r="N11" s="103" t="str"/>
      <x:c r="O11" s="103" t="str"/>
    </x:row>
    <x:row r="12" ht="45" customHeight="1">
      <x:c r="A12" s="103" t="str">
        <x:v>TC-BMS-OT-001</x:v>
      </x:c>
      <x:c r="B12" s="103" t="str">
        <x:v>BMS</x:v>
      </x:c>
      <x:c r="C12" s="103" t="str">
        <x:v>Over-temperature detect and clear</x:v>
      </x:c>
      <x:c r="D12" s="103" t="str">
        <x:v>SWRS-BMS-005</x:v>
      </x:c>
      <x:c r="E12" s="103" t="str">
        <x:v>SWE.4</x:v>
      </x:c>
      <x:c r="F12" s="103" t="str">
        <x:v>P0</x:v>
      </x:c>
      <x:c r="G12" s="103" t="str">
        <x:v>Host Unit</x:v>
      </x:c>
      <x:c r="H12" s="103" t="str">
        <x:v>Boundary</x:v>
      </x:c>
      <x:c r="I12" s="103" t="str">
        <x:v>READY</x:v>
      </x:c>
      <x:c r="J12" s="103" t="str">
        <x:v>tests/host/bms/test_bms_safety_host.py</x:v>
      </x:c>
      <x:c r="K12" s="103" t="str">
        <x:v>Pinned product SHA and independent QA oracle are available.</x:v>
      </x:c>
      <x:c r="L12" s="103" t="str">
        <x:v>55.0 C is normal, 55.1 C detects; 50.0 C does not clear, 49.9 C does.</x:v>
      </x:c>
      <x:c r="M12" s="103" t="str">
        <x:v>NOT_EXECUTED</x:v>
      </x:c>
      <x:c r="N12" s="103" t="str"/>
      <x:c r="O12" s="103" t="str"/>
    </x:row>
    <x:row r="13" ht="45" customHeight="1">
      <x:c r="A13" s="103" t="str">
        <x:v>TC-BMS-SENSOR-001</x:v>
      </x:c>
      <x:c r="B13" s="103" t="str">
        <x:v>BMS</x:v>
      </x:c>
      <x:c r="C13" s="103" t="str">
        <x:v>Sensor readiness and current cross-check</x:v>
      </x:c>
      <x:c r="D13" s="103" t="str">
        <x:v>SWRS-BMS-006</x:v>
      </x:c>
      <x:c r="E13" s="103" t="str">
        <x:v>SWE.4</x:v>
      </x:c>
      <x:c r="F13" s="103" t="str">
        <x:v>P0</x:v>
      </x:c>
      <x:c r="G13" s="103" t="str">
        <x:v>Host Unit</x:v>
      </x:c>
      <x:c r="H13" s="103" t="str">
        <x:v>Boundary</x:v>
      </x:c>
      <x:c r="I13" s="103" t="str">
        <x:v>READY</x:v>
      </x:c>
      <x:c r="J13" s="103" t="str">
        <x:v>tests/host/bms/test_bms_safety_host.py</x:v>
      </x:c>
      <x:c r="K13" s="103" t="str">
        <x:v>Pinned product SHA and independent QA oracle are available.</x:v>
      </x:c>
      <x:c r="L13" s="103" t="str">
        <x:v>Not-ready or difference greater than 500 mA sets SENSOR_ERR.</x:v>
      </x:c>
      <x:c r="M13" s="103" t="str">
        <x:v>NOT_EXECUTED</x:v>
      </x:c>
      <x:c r="N13" s="103" t="str"/>
      <x:c r="O13" s="103" t="str"/>
    </x:row>
    <x:row r="14" ht="45" customHeight="1">
      <x:c r="A14" s="103" t="str">
        <x:v>TC-BMS-PERMIT-001</x:v>
      </x:c>
      <x:c r="B14" s="103" t="str">
        <x:v>BMS</x:v>
      </x:c>
      <x:c r="C14" s="103" t="str">
        <x:v>Critical fault denies charge permit</x:v>
      </x:c>
      <x:c r="D14" s="103" t="str">
        <x:v>SWRS-BMS-009</x:v>
      </x:c>
      <x:c r="E14" s="103" t="str">
        <x:v>SWE.4</x:v>
      </x:c>
      <x:c r="F14" s="103" t="str">
        <x:v>P0</x:v>
      </x:c>
      <x:c r="G14" s="103" t="str">
        <x:v>Host Unit</x:v>
      </x:c>
      <x:c r="H14" s="103" t="str">
        <x:v>Decision table</x:v>
      </x:c>
      <x:c r="I14" s="103" t="str">
        <x:v>READY</x:v>
      </x:c>
      <x:c r="J14" s="103" t="str">
        <x:v>tests/host/bms/test_bms_safety_host.py</x:v>
      </x:c>
      <x:c r="K14" s="103" t="str">
        <x:v>Pinned product SHA and independent QA oracle are available.</x:v>
      </x:c>
      <x:c r="L14" s="103" t="str">
        <x:v>Any critical fault forces permit false.</x:v>
      </x:c>
      <x:c r="M14" s="103" t="str">
        <x:v>NOT_EXECUTED</x:v>
      </x:c>
      <x:c r="N14" s="103" t="str"/>
      <x:c r="O14" s="103" t="str"/>
    </x:row>
    <x:row r="15" ht="45" customHeight="1">
      <x:c r="A15" s="103" t="str">
        <x:v>TC-BMS-FSM-001</x:v>
      </x:c>
      <x:c r="B15" s="103" t="str">
        <x:v>BMS</x:v>
      </x:c>
      <x:c r="C15" s="103" t="str">
        <x:v>BMS fault-state transition matrix</x:v>
      </x:c>
      <x:c r="D15" s="103" t="str">
        <x:v>SWRS-BMS-010</x:v>
      </x:c>
      <x:c r="E15" s="103" t="str">
        <x:v>SWE.5</x:v>
      </x:c>
      <x:c r="F15" s="103" t="str">
        <x:v>P0</x:v>
      </x:c>
      <x:c r="G15" s="103" t="str">
        <x:v>Component</x:v>
      </x:c>
      <x:c r="H15" s="103" t="str">
        <x:v>State transition</x:v>
      </x:c>
      <x:c r="I15" s="103" t="str">
        <x:v>READY</x:v>
      </x:c>
      <x:c r="J15" s="103" t="str">
        <x:v>tests/host/bms/test_bms_safety_host.py</x:v>
      </x:c>
      <x:c r="K15" s="103" t="str">
        <x:v>Pinned product SHA and independent QA oracle are available.</x:v>
      </x:c>
      <x:c r="L15" s="103" t="str">
        <x:v>FAULT cannot charge; accepted clear returns to IDLE.</x:v>
      </x:c>
      <x:c r="M15" s="103" t="str">
        <x:v>NOT_EXECUTED</x:v>
      </x:c>
      <x:c r="N15" s="103" t="str"/>
      <x:c r="O15" s="103" t="str"/>
    </x:row>
    <x:row r="16" ht="45" customHeight="1">
      <x:c r="A16" s="103" t="str">
        <x:v>TC-BMS-LINK-001</x:v>
      </x:c>
      <x:c r="B16" s="103" t="str">
        <x:v>BMS</x:v>
      </x:c>
      <x:c r="C16" s="103" t="str">
        <x:v>EVSE link timeout and recovery timing</x:v>
      </x:c>
      <x:c r="D16" s="103" t="str">
        <x:v>SWRS-BMS-011</x:v>
      </x:c>
      <x:c r="E16" s="103" t="str">
        <x:v>SWE.5</x:v>
      </x:c>
      <x:c r="F16" s="103" t="str">
        <x:v>P0</x:v>
      </x:c>
      <x:c r="G16" s="103" t="str">
        <x:v>Component/HIL</x:v>
      </x:c>
      <x:c r="H16" s="103" t="str">
        <x:v>Fault injection</x:v>
      </x:c>
      <x:c r="I16" s="103" t="str">
        <x:v>READY_HIL_CONDITIONAL</x:v>
      </x:c>
      <x:c r="J16" s="103" t="str">
        <x:v>hil/tests/test_can_timeout.py</x:v>
      </x:c>
      <x:c r="K16" s="103" t="str">
        <x:v>Isolated EVSE TX silence/restore control is configured.</x:v>
      </x:c>
      <x:c r="L16" s="103" t="str">
        <x:v>LINK_TIMEOUT occurs at 1000 ms requirement and clears after 300 ms stable reception.</x:v>
      </x:c>
      <x:c r="M16" s="103" t="str">
        <x:v>NOT_EXECUTED</x:v>
      </x:c>
      <x:c r="N16" s="103" t="str"/>
      <x:c r="O16" s="103" t="str"/>
    </x:row>
    <x:row r="17" ht="45" customHeight="1">
      <x:c r="A17" s="103" t="str">
        <x:v>TC-BMS-RELAY-001</x:v>
      </x:c>
      <x:c r="B17" s="103" t="str">
        <x:v>BMS</x:v>
      </x:c>
      <x:c r="C17" s="103" t="str">
        <x:v>EVSE request and permit control PA8</x:v>
      </x:c>
      <x:c r="D17" s="103" t="str">
        <x:v>SWRS-BMS-012</x:v>
      </x:c>
      <x:c r="E17" s="103" t="str">
        <x:v>SWE.5</x:v>
      </x:c>
      <x:c r="F17" s="103" t="str">
        <x:v>P1</x:v>
      </x:c>
      <x:c r="G17" s="103" t="str">
        <x:v>Component/HIL</x:v>
      </x:c>
      <x:c r="H17" s="103" t="str">
        <x:v>State/output</x:v>
      </x:c>
      <x:c r="I17" s="103" t="str">
        <x:v>READY_HIL_CONDITIONAL</x:v>
      </x:c>
      <x:c r="J17" s="103" t="str">
        <x:v>hil/tests/test_can_e2e.py;hil/tests/test_safe_state.py</x:v>
      </x:c>
      <x:c r="K17" s="103" t="str">
        <x:v>Current-limited, hard-interlocked BMS relay fixture is connected.</x:v>
      </x:c>
      <x:c r="L17" s="103" t="str">
        <x:v>PA8 is ON only for valid request+permit and LOW for cancel/fault.</x:v>
      </x:c>
      <x:c r="M17" s="103" t="str">
        <x:v>NOT_EXECUTED</x:v>
      </x:c>
      <x:c r="N17" s="103" t="str"/>
      <x:c r="O17" s="103" t="str"/>
    </x:row>
    <x:row r="18" ht="45" customHeight="1">
      <x:c r="A18" s="103" t="str">
        <x:v>TC-BMS-MULTI-001</x:v>
      </x:c>
      <x:c r="B18" s="103" t="str">
        <x:v>BMS</x:v>
      </x:c>
      <x:c r="C18" s="103" t="str">
        <x:v>Multi-fault safety convergence</x:v>
      </x:c>
      <x:c r="D18" s="103" t="str">
        <x:v>SWRS-BMS-009</x:v>
      </x:c>
      <x:c r="E18" s="103" t="str">
        <x:v>SWE.4</x:v>
      </x:c>
      <x:c r="F18" s="103" t="str">
        <x:v>P1</x:v>
      </x:c>
      <x:c r="G18" s="103" t="str">
        <x:v>Host Unit</x:v>
      </x:c>
      <x:c r="H18" s="103" t="str">
        <x:v>Combinatorial</x:v>
      </x:c>
      <x:c r="I18" s="103" t="str">
        <x:v>READY</x:v>
      </x:c>
      <x:c r="J18" s="103" t="str">
        <x:v>tests/host/bms/test_bms_safety_host.py</x:v>
      </x:c>
      <x:c r="K18" s="103" t="str">
        <x:v>Pinned product SHA and independent QA oracle are available.</x:v>
      </x:c>
      <x:c r="L18" s="103" t="str">
        <x:v>Permit remains false while any critical fault remains.</x:v>
      </x:c>
      <x:c r="M18" s="103" t="str">
        <x:v>NOT_EXECUTED</x:v>
      </x:c>
      <x:c r="N18" s="103" t="str"/>
      <x:c r="O18" s="103" t="str"/>
    </x:row>
    <x:row r="19" ht="45" customHeight="1">
      <x:c r="A19" s="103" t="str">
        <x:v>TC-EVSE-SAFE-001</x:v>
      </x:c>
      <x:c r="B19" s="103" t="str">
        <x:v>EVSE</x:v>
      </x:c>
      <x:c r="C19" s="103" t="str">
        <x:v>Power and reset Safe-Off</x:v>
      </x:c>
      <x:c r="D19" s="103" t="str">
        <x:v>SWRS-EVSE-001</x:v>
      </x:c>
      <x:c r="E19" s="103" t="str">
        <x:v>SWE.5</x:v>
      </x:c>
      <x:c r="F19" s="103" t="str">
        <x:v>P0</x:v>
      </x:c>
      <x:c r="G19" s="103" t="str">
        <x:v>Target Component</x:v>
      </x:c>
      <x:c r="H19" s="103" t="str">
        <x:v>Reset/output</x:v>
      </x:c>
      <x:c r="I19" s="103" t="str">
        <x:v>READY_HIL_CONDITIONAL</x:v>
      </x:c>
      <x:c r="J19" s="103" t="str">
        <x:v>tests/host/evse/test_evse_core_host.py;hil/tests/test_safe_state.py</x:v>
      </x:c>
      <x:c r="K19" s="103" t="str">
        <x:v>Pinned product SHA and independent QA oracle are available.</x:v>
      </x:c>
      <x:c r="L19" s="103" t="str">
        <x:v>Relay command and PE11 are LOW after init/reset.</x:v>
      </x:c>
      <x:c r="M19" s="103" t="str">
        <x:v>NOT_EXECUTED</x:v>
      </x:c>
      <x:c r="N19" s="103" t="str"/>
      <x:c r="O19" s="103" t="str"/>
    </x:row>
    <x:row r="20" ht="45" customHeight="1">
      <x:c r="A20" s="103" t="str">
        <x:v>TC-EVSE-IN-001</x:v>
      </x:c>
      <x:c r="B20" s="103" t="str">
        <x:v>EVSE</x:v>
      </x:c>
      <x:c r="C20" s="103" t="str">
        <x:v>START and STOP 30 ms debounce</x:v>
      </x:c>
      <x:c r="D20" s="103" t="str">
        <x:v>SWRS-EVSE-002</x:v>
      </x:c>
      <x:c r="E20" s="103" t="str">
        <x:v>SWE.4</x:v>
      </x:c>
      <x:c r="F20" s="103" t="str">
        <x:v>P1</x:v>
      </x:c>
      <x:c r="G20" s="103" t="str">
        <x:v>Host Unit</x:v>
      </x:c>
      <x:c r="H20" s="103" t="str">
        <x:v>Timing boundary</x:v>
      </x:c>
      <x:c r="I20" s="103" t="str">
        <x:v>READY</x:v>
      </x:c>
      <x:c r="J20" s="103" t="str">
        <x:v>tests/host/evse/test_evse_core_host.py</x:v>
      </x:c>
      <x:c r="K20" s="103" t="str">
        <x:v>Pinned product SHA and independent QA oracle are available.</x:v>
      </x:c>
      <x:c r="L20" s="103" t="str">
        <x:v>Short input is ignored; stable input generates one event.</x:v>
      </x:c>
      <x:c r="M20" s="103" t="str">
        <x:v>NOT_EXECUTED</x:v>
      </x:c>
      <x:c r="N20" s="103" t="str"/>
      <x:c r="O20" s="103" t="str"/>
    </x:row>
    <x:row r="21" ht="45" customHeight="1">
      <x:c r="A21" s="103" t="str">
        <x:v>TC-EVSE-SAFE-002</x:v>
      </x:c>
      <x:c r="B21" s="103" t="str">
        <x:v>EVSE</x:v>
      </x:c>
      <x:c r="C21" s="103" t="str">
        <x:v>Permit false forces relay off</x:v>
      </x:c>
      <x:c r="D21" s="103" t="str">
        <x:v>SWRS-EVSE-004</x:v>
      </x:c>
      <x:c r="E21" s="103" t="str">
        <x:v>SWE.5</x:v>
      </x:c>
      <x:c r="F21" s="103" t="str">
        <x:v>P0</x:v>
      </x:c>
      <x:c r="G21" s="103" t="str">
        <x:v>Component</x:v>
      </x:c>
      <x:c r="H21" s="103" t="str">
        <x:v>Decision</x:v>
      </x:c>
      <x:c r="I21" s="103" t="str">
        <x:v>READY</x:v>
      </x:c>
      <x:c r="J21" s="103" t="str">
        <x:v>tests/host/evse/test_evse_core_host.py</x:v>
      </x:c>
      <x:c r="K21" s="103" t="str">
        <x:v>Pinned product SHA and independent QA oracle are available.</x:v>
      </x:c>
      <x:c r="L21" s="103" t="str">
        <x:v>Relay command remains OFF and CHARGING is not entered.</x:v>
      </x:c>
      <x:c r="M21" s="103" t="str">
        <x:v>NOT_EXECUTED</x:v>
      </x:c>
      <x:c r="N21" s="103" t="str"/>
      <x:c r="O21" s="103" t="str"/>
    </x:row>
    <x:row r="22" ht="45" customHeight="1">
      <x:c r="A22" s="103" t="str">
        <x:v>TC-EVSE-SAFE-003</x:v>
      </x:c>
      <x:c r="B22" s="103" t="str">
        <x:v>EVSE</x:v>
      </x:c>
      <x:c r="C22" s="103" t="str">
        <x:v>Charge-condition decision table</x:v>
      </x:c>
      <x:c r="D22" s="103" t="str">
        <x:v>SWRS-EVSE-003</x:v>
      </x:c>
      <x:c r="E22" s="103" t="str">
        <x:v>SWE.4</x:v>
      </x:c>
      <x:c r="F22" s="103" t="str">
        <x:v>P0</x:v>
      </x:c>
      <x:c r="G22" s="103" t="str">
        <x:v>Host Unit</x:v>
      </x:c>
      <x:c r="H22" s="103" t="str">
        <x:v>Decision table</x:v>
      </x:c>
      <x:c r="I22" s="103" t="str">
        <x:v>READY</x:v>
      </x:c>
      <x:c r="J22" s="103" t="str">
        <x:v>tests/host/evse/test_evse_core_host.py</x:v>
      </x:c>
      <x:c r="K22" s="103" t="str">
        <x:v>Pinned product SHA and independent QA oracle are available.</x:v>
      </x:c>
      <x:c r="L22" s="103" t="str">
        <x:v>Charging is allowed only for the single approved conjunction.</x:v>
      </x:c>
      <x:c r="M22" s="103" t="str">
        <x:v>NOT_EXECUTED</x:v>
      </x:c>
      <x:c r="N22" s="103" t="str"/>
      <x:c r="O22" s="103" t="str"/>
    </x:row>
    <x:row r="23" ht="45" customHeight="1">
      <x:c r="A23" s="103" t="str">
        <x:v>TC-EVSE-SAFE-004</x:v>
      </x:c>
      <x:c r="B23" s="103" t="str">
        <x:v>EVSE</x:v>
      </x:c>
      <x:c r="C23" s="103" t="str">
        <x:v>BMS timeout drives Safe-Off</x:v>
      </x:c>
      <x:c r="D23" s="103" t="str">
        <x:v>SWRS-EVSE-005</x:v>
      </x:c>
      <x:c r="E23" s="103" t="str">
        <x:v>SWE.5</x:v>
      </x:c>
      <x:c r="F23" s="103" t="str">
        <x:v>P0</x:v>
      </x:c>
      <x:c r="G23" s="103" t="str">
        <x:v>Target/HIL</x:v>
      </x:c>
      <x:c r="H23" s="103" t="str">
        <x:v>Fault injection</x:v>
      </x:c>
      <x:c r="I23" s="103" t="str">
        <x:v>READY_HIL_CONDITIONAL</x:v>
      </x:c>
      <x:c r="J23" s="103" t="str">
        <x:v>tests/host/evse/test_evse_core_host.py;hil/tests/test_can_timeout.py</x:v>
      </x:c>
      <x:c r="K23" s="103" t="str">
        <x:v>EVSE is in charging state; isolated BMS TX silence control is configured.</x:v>
      </x:c>
      <x:c r="L23" s="103" t="str">
        <x:v>BMS becomes offline and PE11 is LOW within approved task tolerance.</x:v>
      </x:c>
      <x:c r="M23" s="103" t="str">
        <x:v>NOT_EXECUTED</x:v>
      </x:c>
      <x:c r="N23" s="103" t="str"/>
      <x:c r="O23" s="103" t="str"/>
    </x:row>
    <x:row r="24" ht="45" customHeight="1">
      <x:c r="A24" s="103" t="str">
        <x:v>TC-EVSE-SAFE-005</x:v>
      </x:c>
      <x:c r="B24" s="103" t="str">
        <x:v>EVSE</x:v>
      </x:c>
      <x:c r="C24" s="103" t="str">
        <x:v>Fault or permit-loss response latency</x:v>
      </x:c>
      <x:c r="D24" s="103" t="str">
        <x:v>SWRS-EVSE-006</x:v>
      </x:c>
      <x:c r="E24" s="103" t="str">
        <x:v>SWE.6</x:v>
      </x:c>
      <x:c r="F24" s="103" t="str">
        <x:v>P0</x:v>
      </x:c>
      <x:c r="G24" s="103" t="str">
        <x:v>Integration</x:v>
      </x:c>
      <x:c r="H24" s="103" t="str">
        <x:v>Timing measurement</x:v>
      </x:c>
      <x:c r="I24" s="103" t="str">
        <x:v>READY_HIL_CONDITIONAL</x:v>
      </x:c>
      <x:c r="J24" s="103" t="str">
        <x:v>tests/host/evse/test_evse_core_host.py;hil/tests/test_can_e2e.py</x:v>
      </x:c>
      <x:c r="K24" s="103" t="str">
        <x:v>Pinned product SHA and independent QA oracle are available.</x:v>
      </x:c>
      <x:c r="L24" s="103" t="str">
        <x:v>Relay converges OFF; measured latency is recorded without an unapproved upper-limit verdict.</x:v>
      </x:c>
      <x:c r="M24" s="103" t="str">
        <x:v>NOT_EXECUTED</x:v>
      </x:c>
      <x:c r="N24" s="103" t="str"/>
      <x:c r="O24" s="103" t="str"/>
    </x:row>
    <x:row r="25" ht="45" customHeight="1">
      <x:c r="A25" s="103" t="str">
        <x:v>TC-EVSE-SAFE-006</x:v>
      </x:c>
      <x:c r="B25" s="103" t="str">
        <x:v>EVSE</x:v>
      </x:c>
      <x:c r="C25" s="103" t="str">
        <x:v>Arbitrary reset robustness</x:v>
      </x:c>
      <x:c r="D25" s="103" t="str">
        <x:v>SWRS-EVSE-001</x:v>
      </x:c>
      <x:c r="E25" s="103" t="str">
        <x:v>SWE.5</x:v>
      </x:c>
      <x:c r="F25" s="103" t="str">
        <x:v>P0</x:v>
      </x:c>
      <x:c r="G25" s="103" t="str">
        <x:v>Target/HIL</x:v>
      </x:c>
      <x:c r="H25" s="103" t="str">
        <x:v>Robustness</x:v>
      </x:c>
      <x:c r="I25" s="103" t="str">
        <x:v>READY_HIL_CONDITIONAL</x:v>
      </x:c>
      <x:c r="J25" s="103" t="str">
        <x:v>tests/host/evse/test_evse_core_host.py;hil/tests/test_safe_state.py</x:v>
      </x:c>
      <x:c r="K25" s="103" t="str">
        <x:v>Pinned product SHA and independent QA oracle are available.</x:v>
      </x:c>
      <x:c r="L25" s="103" t="str">
        <x:v>Every restart begins with relay command and PE11 LOW.</x:v>
      </x:c>
      <x:c r="M25" s="103" t="str">
        <x:v>NOT_EXECUTED</x:v>
      </x:c>
      <x:c r="N25" s="103" t="str"/>
      <x:c r="O25" s="103" t="str"/>
    </x:row>
    <x:row r="26" ht="45" customHeight="1">
      <x:c r="A26" s="103" t="str">
        <x:v>TC-EVSE-FAULT-001</x:v>
      </x:c>
      <x:c r="B26" s="103" t="str">
        <x:v>EVSE</x:v>
      </x:c>
      <x:c r="C26" s="103" t="str">
        <x:v>EVSE fault bitmask mapping</x:v>
      </x:c>
      <x:c r="D26" s="103" t="str">
        <x:v>SWRS-EVSE-007</x:v>
      </x:c>
      <x:c r="E26" s="103" t="str">
        <x:v>SWE.4</x:v>
      </x:c>
      <x:c r="F26" s="103" t="str">
        <x:v>P1</x:v>
      </x:c>
      <x:c r="G26" s="103" t="str">
        <x:v>Host Unit</x:v>
      </x:c>
      <x:c r="H26" s="103" t="str">
        <x:v>Equivalence</x:v>
      </x:c>
      <x:c r="I26" s="103" t="str">
        <x:v>READY</x:v>
      </x:c>
      <x:c r="J26" s="103" t="str">
        <x:v>tests/host/evse/test_evse_core_host.py</x:v>
      </x:c>
      <x:c r="K26" s="103" t="str">
        <x:v>Pinned product SHA and independent QA oracle are available.</x:v>
      </x:c>
      <x:c r="L26" s="103" t="str">
        <x:v>0x202 data[0] maps exactly to 01/02/04/08/10/20/40/80.</x:v>
      </x:c>
      <x:c r="M26" s="103" t="str">
        <x:v>NOT_EXECUTED</x:v>
      </x:c>
      <x:c r="N26" s="103" t="str"/>
      <x:c r="O26" s="103" t="str"/>
    </x:row>
    <x:row r="27" ht="45" customHeight="1">
      <x:c r="A27" s="103" t="str">
        <x:v>TC-EVSE-CAN-REQ-001</x:v>
      </x:c>
      <x:c r="B27" s="103" t="str">
        <x:v>EVSE</x:v>
      </x:c>
      <x:c r="C27" s="103" t="str">
        <x:v>START and STOP charge request</x:v>
      </x:c>
      <x:c r="D27" s="103" t="str">
        <x:v>SWRS-EVSE-008</x:v>
      </x:c>
      <x:c r="E27" s="103" t="str">
        <x:v>SWE.5</x:v>
      </x:c>
      <x:c r="F27" s="103" t="str">
        <x:v>P1</x:v>
      </x:c>
      <x:c r="G27" s="103" t="str">
        <x:v>Component/HIL</x:v>
      </x:c>
      <x:c r="H27" s="103" t="str">
        <x:v>State transition</x:v>
      </x:c>
      <x:c r="I27" s="103" t="str">
        <x:v>READY_HIL_CONDITIONAL</x:v>
      </x:c>
      <x:c r="J27" s="103" t="str">
        <x:v>tests/host/evse/test_evse_core_host.py;hil/tests/test_can_e2e.py</x:v>
      </x:c>
      <x:c r="K27" s="103" t="str">
        <x:v>Pinned product SHA and independent QA oracle are available.</x:v>
      </x:c>
      <x:c r="L27" s="103" t="str">
        <x:v>0x201 transmits 1/0; cached BMS data cannot acknowledge START.</x:v>
      </x:c>
      <x:c r="M27" s="103" t="str">
        <x:v>NOT_EXECUTED</x:v>
      </x:c>
      <x:c r="N27" s="103" t="str"/>
      <x:c r="O27" s="103" t="str"/>
    </x:row>
    <x:row r="28" ht="45" customHeight="1">
      <x:c r="A28" s="103" t="str">
        <x:v>TC-CAN-PROTO-001</x:v>
      </x:c>
      <x:c r="B28" s="103" t="str">
        <x:v>CAN</x:v>
      </x:c>
      <x:c r="C28" s="103" t="str">
        <x:v>All defined CAN ID and DLC contracts</x:v>
      </x:c>
      <x:c r="D28" s="103" t="str">
        <x:v>SWRS-CAN-001,SWRS-CAN-002</x:v>
      </x:c>
      <x:c r="E28" s="103" t="str">
        <x:v>SWE.4</x:v>
      </x:c>
      <x:c r="F28" s="103" t="str">
        <x:v>P0</x:v>
      </x:c>
      <x:c r="G28" s="103" t="str">
        <x:v>Host Unit</x:v>
      </x:c>
      <x:c r="H28" s="103" t="str">
        <x:v>Interface</x:v>
      </x:c>
      <x:c r="I28" s="103" t="str">
        <x:v>READY</x:v>
      </x:c>
      <x:c r="J28" s="103" t="str">
        <x:v>tests/host/evse/test_evse_core_host.py</x:v>
      </x:c>
      <x:c r="K28" s="103" t="str">
        <x:v>Pinned product SHA and independent QA oracle are available.</x:v>
      </x:c>
      <x:c r="L28" s="103" t="str">
        <x:v>All frames are unique 11-bit IDs with ICD DLC.</x:v>
      </x:c>
      <x:c r="M28" s="103" t="str">
        <x:v>NOT_EXECUTED</x:v>
      </x:c>
      <x:c r="N28" s="103" t="str"/>
      <x:c r="O28" s="103" t="str"/>
    </x:row>
    <x:row r="29" ht="45" customHeight="1">
      <x:c r="A29" s="103" t="str">
        <x:v>TC-CAN-ENDIAN-001</x:v>
      </x:c>
      <x:c r="B29" s="103" t="str">
        <x:v>CAN</x:v>
      </x:c>
      <x:c r="C29" s="103" t="str">
        <x:v>Little-endian and signed-current decoding</x:v>
      </x:c>
      <x:c r="D29" s="103" t="str">
        <x:v>SWRS-CAN-003</x:v>
      </x:c>
      <x:c r="E29" s="103" t="str">
        <x:v>SWE.4</x:v>
      </x:c>
      <x:c r="F29" s="103" t="str">
        <x:v>P0</x:v>
      </x:c>
      <x:c r="G29" s="103" t="str">
        <x:v>Host Unit</x:v>
      </x:c>
      <x:c r="H29" s="103" t="str">
        <x:v>Data representation</x:v>
      </x:c>
      <x:c r="I29" s="103" t="str">
        <x:v>READY</x:v>
      </x:c>
      <x:c r="J29" s="103" t="str">
        <x:v>tests/host/evse/test_evse_core_host.py</x:v>
      </x:c>
      <x:c r="K29" s="103" t="str">
        <x:v>Pinned product SHA and independent QA oracle are available.</x:v>
      </x:c>
      <x:c r="L29" s="103" t="str">
        <x:v>Decoded values exactly match independent LE/signed oracle.</x:v>
      </x:c>
      <x:c r="M29" s="103" t="str">
        <x:v>NOT_EXECUTED</x:v>
      </x:c>
      <x:c r="N29" s="103" t="str"/>
      <x:c r="O29" s="103" t="str"/>
    </x:row>
    <x:row r="30" ht="45" customHeight="1">
      <x:c r="A30" s="103" t="str">
        <x:v>TC-CAN-NEG-001</x:v>
      </x:c>
      <x:c r="B30" s="103" t="str">
        <x:v>CAN</x:v>
      </x:c>
      <x:c r="C30" s="103" t="str">
        <x:v>Reject wrong DLC Extended and RTR frames</x:v>
      </x:c>
      <x:c r="D30" s="103" t="str">
        <x:v>SWRS-CAN-004</x:v>
      </x:c>
      <x:c r="E30" s="103" t="str">
        <x:v>SWE.4</x:v>
      </x:c>
      <x:c r="F30" s="103" t="str">
        <x:v>P0</x:v>
      </x:c>
      <x:c r="G30" s="103" t="str">
        <x:v>Host Unit</x:v>
      </x:c>
      <x:c r="H30" s="103" t="str">
        <x:v>Negative partition</x:v>
      </x:c>
      <x:c r="I30" s="103" t="str">
        <x:v>READY</x:v>
      </x:c>
      <x:c r="J30" s="103" t="str">
        <x:v>tests/host/evse/test_evse_core_host.py</x:v>
      </x:c>
      <x:c r="K30" s="103" t="str">
        <x:v>Pinned product SHA and independent QA oracle are available.</x:v>
      </x:c>
      <x:c r="L30" s="103" t="str">
        <x:v>Each is INVALID and leaves prior snapshot byte-identical.</x:v>
      </x:c>
      <x:c r="M30" s="103" t="str">
        <x:v>NOT_EXECUTED</x:v>
      </x:c>
      <x:c r="N30" s="103" t="str"/>
      <x:c r="O30" s="103" t="str"/>
    </x:row>
    <x:row r="31" ht="45" customHeight="1">
      <x:c r="A31" s="103" t="str">
        <x:v>TC-CAN-UNKID-001</x:v>
      </x:c>
      <x:c r="B31" s="103" t="str">
        <x:v>CAN</x:v>
      </x:c>
      <x:c r="C31" s="103" t="str">
        <x:v>Ignore unknown CAN ID</x:v>
      </x:c>
      <x:c r="D31" s="103" t="str">
        <x:v>SWRS-CAN-004</x:v>
      </x:c>
      <x:c r="E31" s="103" t="str">
        <x:v>SWE.4</x:v>
      </x:c>
      <x:c r="F31" s="103" t="str">
        <x:v>P1</x:v>
      </x:c>
      <x:c r="G31" s="103" t="str">
        <x:v>Host Unit</x:v>
      </x:c>
      <x:c r="H31" s="103" t="str">
        <x:v>Negative partition</x:v>
      </x:c>
      <x:c r="I31" s="103" t="str">
        <x:v>READY</x:v>
      </x:c>
      <x:c r="J31" s="103" t="str">
        <x:v>tests/host/evse/test_evse_core_host.py</x:v>
      </x:c>
      <x:c r="K31" s="103" t="str">
        <x:v>Pinned product SHA and independent QA oracle are available.</x:v>
      </x:c>
      <x:c r="L31" s="103" t="str">
        <x:v>Result is IGNORED and prior snapshot is unchanged.</x:v>
      </x:c>
      <x:c r="M31" s="103" t="str">
        <x:v>NOT_EXECUTED</x:v>
      </x:c>
      <x:c r="N31" s="103" t="str"/>
      <x:c r="O31" s="103" t="str"/>
    </x:row>
    <x:row r="32" ht="45" customHeight="1">
      <x:c r="A32" s="103" t="str">
        <x:v>TC-CAN-BUS-001</x:v>
      </x:c>
      <x:c r="B32" s="103" t="str">
        <x:v>CAN</x:v>
      </x:c>
      <x:c r="C32" s="103" t="str">
        <x:v>Three-node 500 kbit/s bus acceptance</x:v>
      </x:c>
      <x:c r="D32" s="103" t="str">
        <x:v>SWRS-CAN-001</x:v>
      </x:c>
      <x:c r="E32" s="103" t="str">
        <x:v>SYS.4</x:v>
      </x:c>
      <x:c r="F32" s="103" t="str">
        <x:v>P0</x:v>
      </x:c>
      <x:c r="G32" s="103" t="str">
        <x:v>HIL</x:v>
      </x:c>
      <x:c r="H32" s="103" t="str">
        <x:v>Physical acceptance</x:v>
      </x:c>
      <x:c r="I32" s="103" t="str">
        <x:v>READY_HIL_CONDITIONAL</x:v>
      </x:c>
      <x:c r="J32" s="103" t="str">
        <x:v>hil/tests/test_can_bus_acceptance.py</x:v>
      </x:c>
      <x:c r="K32" s="103" t="str">
        <x:v>BMS, EVSE and Pi are connected with power off resistance evidence.</x:v>
      </x:c>
      <x:c r="L32" s="103" t="str">
        <x:v>54–66 ohm, both node frame ranges visible, zero observed error frames.</x:v>
      </x:c>
      <x:c r="M32" s="103" t="str">
        <x:v>NOT_EXECUTED</x:v>
      </x:c>
      <x:c r="N32" s="103" t="str"/>
      <x:c r="O32" s="103" t="str"/>
    </x:row>
    <x:row r="33" ht="45" customHeight="1">
      <x:c r="A33" s="103" t="str">
        <x:v>TC-CAN-HB-001</x:v>
      </x:c>
      <x:c r="B33" s="103" t="str">
        <x:v>CAN</x:v>
      </x:c>
      <x:c r="C33" s="103" t="str">
        <x:v>CAN periodicity schedule</x:v>
      </x:c>
      <x:c r="D33" s="103" t="str">
        <x:v>SWRS-CAN-005</x:v>
      </x:c>
      <x:c r="E33" s="103" t="str">
        <x:v>SWE.5</x:v>
      </x:c>
      <x:c r="F33" s="103" t="str">
        <x:v>P0</x:v>
      </x:c>
      <x:c r="G33" s="103" t="str">
        <x:v>HIL</x:v>
      </x:c>
      <x:c r="H33" s="103" t="str">
        <x:v>Timing</x:v>
      </x:c>
      <x:c r="I33" s="103" t="str">
        <x:v>READY_HIL_CONDITIONAL</x:v>
      </x:c>
      <x:c r="J33" s="103" t="str">
        <x:v>hil/tests/test_can_timeout.py</x:v>
      </x:c>
      <x:c r="K33" s="103" t="str">
        <x:v>Pinned product SHA and independent QA oracle are available.</x:v>
      </x:c>
      <x:c r="L33" s="103" t="str">
        <x:v>Median periods match 100/500/1000 ms within configured tolerance.</x:v>
      </x:c>
      <x:c r="M33" s="103" t="str">
        <x:v>NOT_EXECUTED</x:v>
      </x:c>
      <x:c r="N33" s="103" t="str"/>
      <x:c r="O33" s="103" t="str"/>
    </x:row>
    <x:row r="34" ht="45" customHeight="1">
      <x:c r="A34" s="103" t="str">
        <x:v>TC-CAN-E2E-001</x:v>
      </x:c>
      <x:c r="B34" s="103" t="str">
        <x:v>CAN</x:v>
      </x:c>
      <x:c r="C34" s="103" t="str">
        <x:v>BMS MAIN updates EVSE snapshot</x:v>
      </x:c>
      <x:c r="D34" s="103" t="str">
        <x:v>SWRS-CAN-002,SWRS-CAN-003</x:v>
      </x:c>
      <x:c r="E34" s="103" t="str">
        <x:v>SWE.6</x:v>
      </x:c>
      <x:c r="F34" s="103" t="str">
        <x:v>P0</x:v>
      </x:c>
      <x:c r="G34" s="103" t="str">
        <x:v>Integration</x:v>
      </x:c>
      <x:c r="H34" s="103" t="str">
        <x:v>Back-to-back</x:v>
      </x:c>
      <x:c r="I34" s="103" t="str">
        <x:v>READY</x:v>
      </x:c>
      <x:c r="J34" s="103" t="str">
        <x:v>tests/host/evse/test_evse_core_host.py</x:v>
      </x:c>
      <x:c r="K34" s="103" t="str">
        <x:v>Pinned product SHA and independent QA oracle are available.</x:v>
      </x:c>
      <x:c r="L34" s="103" t="str">
        <x:v>permit/state/fault/current and RX sequence update exactly.</x:v>
      </x:c>
      <x:c r="M34" s="103" t="str">
        <x:v>NOT_EXECUTED</x:v>
      </x:c>
      <x:c r="N34" s="103" t="str"/>
      <x:c r="O34" s="103" t="str"/>
    </x:row>
    <x:row r="35" ht="45" customHeight="1">
      <x:c r="A35" s="103" t="str">
        <x:v>TC-CAN-E2E-002</x:v>
      </x:c>
      <x:c r="B35" s="103" t="str">
        <x:v>CAN</x:v>
      </x:c>
      <x:c r="C35" s="103" t="str">
        <x:v>START STOP through BMS state and PA8</x:v>
      </x:c>
      <x:c r="D35" s="103" t="str">
        <x:v>SWRS-BMS-012,SWRS-EVSE-008,SWRS-CAN-006</x:v>
      </x:c>
      <x:c r="E35" s="103" t="str">
        <x:v>SYS.4</x:v>
      </x:c>
      <x:c r="F35" s="103" t="str">
        <x:v>P0</x:v>
      </x:c>
      <x:c r="G35" s="103" t="str">
        <x:v>System HIL</x:v>
      </x:c>
      <x:c r="H35" s="103" t="str">
        <x:v>End-to-end</x:v>
      </x:c>
      <x:c r="I35" s="103" t="str">
        <x:v>READY_HIL_CONDITIONAL</x:v>
      </x:c>
      <x:c r="J35" s="103" t="str">
        <x:v>hil/tests/test_can_e2e.py</x:v>
      </x:c>
      <x:c r="K35" s="103" t="str">
        <x:v>Pinned product SHA and independent QA oracle are available.</x:v>
      </x:c>
      <x:c r="L35" s="103" t="str">
        <x:v>0x201 1/0, BMS state, EVSE state and relay outputs follow the approved sequence.</x:v>
      </x:c>
      <x:c r="M35" s="103" t="str">
        <x:v>NOT_EXECUTED</x:v>
      </x:c>
      <x:c r="N35" s="103" t="str"/>
      <x:c r="O35" s="103" t="str"/>
    </x:row>
    <x:row r="36" ht="45" customHeight="1">
      <x:c r="A36" s="103" t="str">
        <x:v>TC-CAN-E2E-003</x:v>
      </x:c>
      <x:c r="B36" s="103" t="str">
        <x:v>CAN</x:v>
      </x:c>
      <x:c r="C36" s="103" t="str">
        <x:v>Critical BMS fault drives EVSE Safe-Off</x:v>
      </x:c>
      <x:c r="D36" s="103" t="str">
        <x:v>SWRS-BMS-009,SWRS-EVSE-006,SWRS-CAN-006</x:v>
      </x:c>
      <x:c r="E36" s="103" t="str">
        <x:v>SYS.5</x:v>
      </x:c>
      <x:c r="F36" s="103" t="str">
        <x:v>P0</x:v>
      </x:c>
      <x:c r="G36" s="103" t="str">
        <x:v>System HIL</x:v>
      </x:c>
      <x:c r="H36" s="103" t="str">
        <x:v>End-to-end fault</x:v>
      </x:c>
      <x:c r="I36" s="103" t="str">
        <x:v>READY_HIL_CONDITIONAL</x:v>
      </x:c>
      <x:c r="J36" s="103" t="str">
        <x:v>hil/tests/test_can_e2e.py</x:v>
      </x:c>
      <x:c r="K36" s="103" t="str">
        <x:v>Pinned product SHA and independent QA oracle are available.</x:v>
      </x:c>
      <x:c r="L36" s="103" t="str">
        <x:v>Fault then permit=0 then EVSE relay command/PE11 OFF are observed in order.</x:v>
      </x:c>
      <x:c r="M36" s="103" t="str">
        <x:v>NOT_EXECUTED</x:v>
      </x:c>
      <x:c r="N36" s="103" t="str"/>
      <x:c r="O36" s="103" t="str"/>
    </x:row>
    <x:row r="37" ht="45" customHeight="1">
      <x:c r="A37" s="103" t="str">
        <x:v>TC-CAN-BUSOFF-001</x:v>
      </x:c>
      <x:c r="B37" s="103" t="str">
        <x:v>CAN</x:v>
      </x:c>
      <x:c r="C37" s="103" t="str">
        <x:v>Bus-off detect and recovery</x:v>
      </x:c>
      <x:c r="D37" s="103" t="str">
        <x:v>SWRS-CAN-007</x:v>
      </x:c>
      <x:c r="E37" s="103" t="str">
        <x:v>SWE.5</x:v>
      </x:c>
      <x:c r="F37" s="103" t="str">
        <x:v>P2</x:v>
      </x:c>
      <x:c r="G37" s="103" t="str">
        <x:v>HIL Fault Injection</x:v>
      </x:c>
      <x:c r="H37" s="103" t="str">
        <x:v>Fault injection</x:v>
      </x:c>
      <x:c r="I37" s="103" t="str">
        <x:v>READY_HIL_CONDITIONAL</x:v>
      </x:c>
      <x:c r="J37" s="103" t="str">
        <x:v>hil/tests/test_bus_off_recovery.py</x:v>
      </x:c>
      <x:c r="K37" s="103" t="str">
        <x:v>Bus fault fixture and recovery policy are approved.</x:v>
      </x:c>
      <x:c r="L37" s="103" t="str">
        <x:v>Bus-off is detected and approved recovery behavior occurs.</x:v>
      </x:c>
      <x:c r="M37" s="103" t="str">
        <x:v>NOT_EXECUTED</x:v>
      </x:c>
      <x:c r="N37" s="103" t="str"/>
      <x:c r="O37" s="103" t="str"/>
    </x:row>
    <x:row r="38" ht="45" customHeight="1">
      <x:c r="A38" s="103" t="str">
        <x:v>TC-OTA-BOOT-001</x:v>
      </x:c>
      <x:c r="B38" s="103" t="str">
        <x:v>OTA</x:v>
      </x:c>
      <x:c r="C38" s="103" t="str">
        <x:v>Valid application reset jump</x:v>
      </x:c>
      <x:c r="D38" s="103" t="str">
        <x:v>SWRS-OTA-001</x:v>
      </x:c>
      <x:c r="E38" s="103" t="str">
        <x:v>SWE.5</x:v>
      </x:c>
      <x:c r="F38" s="103" t="str">
        <x:v>P0</x:v>
      </x:c>
      <x:c r="G38" s="103" t="str">
        <x:v>Target/HIL</x:v>
      </x:c>
      <x:c r="H38" s="103" t="str">
        <x:v>State/output</x:v>
      </x:c>
      <x:c r="I38" s="103" t="str">
        <x:v>READY_HIL_CONDITIONAL</x:v>
      </x:c>
      <x:c r="J38" s="103" t="str">
        <x:v>hil/tests/test_ota_boot.py</x:v>
      </x:c>
      <x:c r="K38" s="103" t="str">
        <x:v>Pinned product SHA and independent QA oracle are available.</x:v>
      </x:c>
      <x:c r="L38" s="103" t="str">
        <x:v>PC enters 0x08020000–0x08100000.</x:v>
      </x:c>
      <x:c r="M38" s="103" t="str">
        <x:v>NOT_EXECUTED</x:v>
      </x:c>
      <x:c r="N38" s="103" t="str"/>
      <x:c r="O38" s="103" t="str"/>
    </x:row>
    <x:row r="39" ht="45" customHeight="1">
      <x:c r="A39" s="103" t="str">
        <x:v>TC-OTA-BOOT-002</x:v>
      </x:c>
      <x:c r="B39" s="103" t="str">
        <x:v>OTA</x:v>
      </x:c>
      <x:c r="C39" s="103" t="str">
        <x:v>Invalid app or user button keeps boot mode</x:v>
      </x:c>
      <x:c r="D39" s="103" t="str">
        <x:v>SWRS-OTA-001</x:v>
      </x:c>
      <x:c r="E39" s="103" t="str">
        <x:v>SWE.5</x:v>
      </x:c>
      <x:c r="F39" s="103" t="str">
        <x:v>P0</x:v>
      </x:c>
      <x:c r="G39" s="103" t="str">
        <x:v>Target/HIL</x:v>
      </x:c>
      <x:c r="H39" s="103" t="str">
        <x:v>State/output</x:v>
      </x:c>
      <x:c r="I39" s="103" t="str">
        <x:v>READY_HIL_CONDITIONAL</x:v>
      </x:c>
      <x:c r="J39" s="103" t="str">
        <x:v>hil/tests/test_ota_boot.py</x:v>
      </x:c>
      <x:c r="K39" s="103" t="str">
        <x:v>Pinned product SHA and independent QA oracle are available.</x:v>
      </x:c>
      <x:c r="L39" s="103" t="str">
        <x:v>Application jump is prevented and boot command loop returns ACK.</x:v>
      </x:c>
      <x:c r="M39" s="103" t="str">
        <x:v>NOT_EXECUTED</x:v>
      </x:c>
      <x:c r="N39" s="103" t="str"/>
      <x:c r="O39" s="103" t="str"/>
    </x:row>
    <x:row r="40" ht="45" customHeight="1">
      <x:c r="A40" s="103" t="str">
        <x:v>TC-OTA-PROTO-001</x:v>
      </x:c>
      <x:c r="B40" s="103" t="str">
        <x:v>OTA</x:v>
      </x:c>
      <x:c r="C40" s="103" t="str">
        <x:v>Text and binary boot protocol commands</x:v>
      </x:c>
      <x:c r="D40" s="103" t="str">
        <x:v>SWRS-OTA-002</x:v>
      </x:c>
      <x:c r="E40" s="103" t="str">
        <x:v>SWE.4</x:v>
      </x:c>
      <x:c r="F40" s="103" t="str">
        <x:v>P1</x:v>
      </x:c>
      <x:c r="G40" s="103" t="str">
        <x:v>Host/Target</x:v>
      </x:c>
      <x:c r="H40" s="103" t="str">
        <x:v>Interface</x:v>
      </x:c>
      <x:c r="I40" s="103" t="str">
        <x:v>READY</x:v>
      </x:c>
      <x:c r="J40" s="103" t="str">
        <x:v>tests/host/ota/test_ota_host.py</x:v>
      </x:c>
      <x:c r="K40" s="103" t="str">
        <x:v>Pinned product SHA and independent QA oracle are available.</x:v>
      </x:c>
      <x:c r="L40" s="103" t="str">
        <x:v>Exact response/action and framing are returned.</x:v>
      </x:c>
      <x:c r="M40" s="103" t="str">
        <x:v>NOT_EXECUTED</x:v>
      </x:c>
      <x:c r="N40" s="103" t="str"/>
      <x:c r="O40" s="103" t="str"/>
    </x:row>
    <x:row r="41" ht="45" customHeight="1">
      <x:c r="A41" s="103" t="str">
        <x:v>TC-OTA-PROTO-002</x:v>
      </x:c>
      <x:c r="B41" s="103" t="str">
        <x:v>OTA</x:v>
      </x:c>
      <x:c r="C41" s="103" t="str">
        <x:v>Binary packet CRC16 rejection</x:v>
      </x:c>
      <x:c r="D41" s="103" t="str">
        <x:v>SWRS-OTA-003</x:v>
      </x:c>
      <x:c r="E41" s="103" t="str">
        <x:v>SWE.4</x:v>
      </x:c>
      <x:c r="F41" s="103" t="str">
        <x:v>P0</x:v>
      </x:c>
      <x:c r="G41" s="103" t="str">
        <x:v>Host Unit</x:v>
      </x:c>
      <x:c r="H41" s="103" t="str">
        <x:v>Negative</x:v>
      </x:c>
      <x:c r="I41" s="103" t="str">
        <x:v>READY_HIL_CONDITIONAL</x:v>
      </x:c>
      <x:c r="J41" s="103" t="str">
        <x:v>tests/host/ota/test_ota_host.py;hil/tests/test_ota_crc_failure.py</x:v>
      </x:c>
      <x:c r="K41" s="103" t="str">
        <x:v>Pinned product SHA and independent QA oracle are available.</x:v>
      </x:c>
      <x:c r="L41" s="103" t="str">
        <x:v>Parser reports CRC error or target NACK and performs no update action.</x:v>
      </x:c>
      <x:c r="M41" s="103" t="str">
        <x:v>NOT_EXECUTED</x:v>
      </x:c>
      <x:c r="N41" s="103" t="str"/>
      <x:c r="O41" s="103" t="str"/>
    </x:row>
    <x:row r="42" ht="45" customHeight="1">
      <x:c r="A42" s="103" t="str">
        <x:v>TC-OTA-SIZE-001</x:v>
      </x:c>
      <x:c r="B42" s="103" t="str">
        <x:v>OTA</x:v>
      </x:c>
      <x:c r="C42" s="103" t="str">
        <x:v>Image size boundaries</x:v>
      </x:c>
      <x:c r="D42" s="103" t="str">
        <x:v>SWRS-OTA-004</x:v>
      </x:c>
      <x:c r="E42" s="103" t="str">
        <x:v>SWE.4</x:v>
      </x:c>
      <x:c r="F42" s="103" t="str">
        <x:v>P0</x:v>
      </x:c>
      <x:c r="G42" s="103" t="str">
        <x:v>Host Unit</x:v>
      </x:c>
      <x:c r="H42" s="103" t="str">
        <x:v>Boundary</x:v>
      </x:c>
      <x:c r="I42" s="103" t="str">
        <x:v>READY</x:v>
      </x:c>
      <x:c r="J42" s="103" t="str">
        <x:v>tests/host/ota/test_ota_host.py</x:v>
      </x:c>
      <x:c r="K42" s="103" t="str">
        <x:v>Pinned product SHA and independent QA oracle are available.</x:v>
      </x:c>
      <x:c r="L42" s="103" t="str">
        <x:v>Invalid/oversize image is rejected before flash write.</x:v>
      </x:c>
      <x:c r="M42" s="103" t="str">
        <x:v>NOT_EXECUTED</x:v>
      </x:c>
      <x:c r="N42" s="103" t="str"/>
      <x:c r="O42" s="103" t="str"/>
    </x:row>
    <x:row r="43" ht="45" customHeight="1">
      <x:c r="A43" s="103" t="str">
        <x:v>TC-OTA-OFFSET-001</x:v>
      </x:c>
      <x:c r="B43" s="103" t="str">
        <x:v>OTA</x:v>
      </x:c>
      <x:c r="C43" s="103" t="str">
        <x:v>Data offset and length sequence</x:v>
      </x:c>
      <x:c r="D43" s="103" t="str">
        <x:v>SWRS-OTA-004</x:v>
      </x:c>
      <x:c r="E43" s="103" t="str">
        <x:v>SWE.4</x:v>
      </x:c>
      <x:c r="F43" s="103" t="str">
        <x:v>P0</x:v>
      </x:c>
      <x:c r="G43" s="103" t="str">
        <x:v>Host Unit</x:v>
      </x:c>
      <x:c r="H43" s="103" t="str">
        <x:v>Boundary/sequence</x:v>
      </x:c>
      <x:c r="I43" s="103" t="str">
        <x:v>READY</x:v>
      </x:c>
      <x:c r="J43" s="103" t="str">
        <x:v>tests/host/ota/test_ota_host.py</x:v>
      </x:c>
      <x:c r="K43" s="103" t="str">
        <x:v>Pinned product SHA and independent QA oracle are available.</x:v>
      </x:c>
      <x:c r="L43" s="103" t="str">
        <x:v>Request is rejected and expected next offset is unchanged.</x:v>
      </x:c>
      <x:c r="M43" s="103" t="str">
        <x:v>NOT_EXECUTED</x:v>
      </x:c>
      <x:c r="N43" s="103" t="str"/>
      <x:c r="O43" s="103" t="str"/>
    </x:row>
    <x:row r="44" ht="45" customHeight="1">
      <x:c r="A44" s="103" t="str">
        <x:v>TC-OTA-CRC-001</x:v>
      </x:c>
      <x:c r="B44" s="103" t="str">
        <x:v>OTA</x:v>
      </x:c>
      <x:c r="C44" s="103" t="str">
        <x:v>Whole-image CRC32 mismatch</x:v>
      </x:c>
      <x:c r="D44" s="103" t="str">
        <x:v>SWRS-OTA-005</x:v>
      </x:c>
      <x:c r="E44" s="103" t="str">
        <x:v>SWE.4</x:v>
      </x:c>
      <x:c r="F44" s="103" t="str">
        <x:v>P0</x:v>
      </x:c>
      <x:c r="G44" s="103" t="str">
        <x:v>Host/Target</x:v>
      </x:c>
      <x:c r="H44" s="103" t="str">
        <x:v>Negative</x:v>
      </x:c>
      <x:c r="I44" s="103" t="str">
        <x:v>READY_HIL_CONDITIONAL</x:v>
      </x:c>
      <x:c r="J44" s="103" t="str">
        <x:v>tests/host/ota/test_ota_host.py;hil/tests/test_ota_crc_failure.py</x:v>
      </x:c>
      <x:c r="K44" s="103" t="str">
        <x:v>Pinned product SHA and independent QA oracle are available.</x:v>
      </x:c>
      <x:c r="L44" s="103" t="str">
        <x:v>END_UPDATE returns CRC_MISMATCH and app vector remains erased.</x:v>
      </x:c>
      <x:c r="M44" s="103" t="str">
        <x:v>NOT_EXECUTED</x:v>
      </x:c>
      <x:c r="N44" s="103" t="str"/>
      <x:c r="O44" s="103" t="str"/>
    </x:row>
    <x:row r="45" ht="45" customHeight="1">
      <x:c r="A45" s="103" t="str">
        <x:v>TC-OTA-UPDATE-001</x:v>
      </x:c>
      <x:c r="B45" s="103" t="str">
        <x:v>OTA</x:v>
      </x:c>
      <x:c r="C45" s="103" t="str">
        <x:v>Valid image end-to-end update</x:v>
      </x:c>
      <x:c r="D45" s="103" t="str">
        <x:v>SWRS-OTA-005</x:v>
      </x:c>
      <x:c r="E45" s="103" t="str">
        <x:v>SWE.5</x:v>
      </x:c>
      <x:c r="F45" s="103" t="str">
        <x:v>P0</x:v>
      </x:c>
      <x:c r="G45" s="103" t="str">
        <x:v>Target/HIL</x:v>
      </x:c>
      <x:c r="H45" s="103" t="str">
        <x:v>End-to-end</x:v>
      </x:c>
      <x:c r="I45" s="103" t="str">
        <x:v>READY_HIL_CONDITIONAL</x:v>
      </x:c>
      <x:c r="J45" s="103" t="str">
        <x:v>tests/host/ota/test_ota_host.py;hil/tests/test_ota_update.py</x:v>
      </x:c>
      <x:c r="K45" s="103" t="str">
        <x:v>Manual approval, verified recovery image and target power control are available.</x:v>
      </x:c>
      <x:c r="L45" s="103" t="str">
        <x:v>CRC/vector valid image completes and boots; recovery evidence is retained.</x:v>
      </x:c>
      <x:c r="M45" s="103" t="str">
        <x:v>NOT_EXECUTED</x:v>
      </x:c>
      <x:c r="N45" s="103" t="str"/>
      <x:c r="O45" s="103" t="str"/>
    </x:row>
    <x:row r="46" ht="45" customHeight="1">
      <x:c r="A46" s="103" t="str">
        <x:v>TC-OTA-GATE-001</x:v>
      </x:c>
      <x:c r="B46" s="103" t="str">
        <x:v>OTA</x:v>
      </x:c>
      <x:c r="C46" s="103" t="str">
        <x:v>Manual approval before target update</x:v>
      </x:c>
      <x:c r="D46" s="103" t="str">
        <x:v>SWRS-OTA-006</x:v>
      </x:c>
      <x:c r="E46" s="103" t="str">
        <x:v>SUP.8</x:v>
      </x:c>
      <x:c r="F46" s="103" t="str">
        <x:v>P1</x:v>
      </x:c>
      <x:c r="G46" s="103" t="str">
        <x:v>Process</x:v>
      </x:c>
      <x:c r="H46" s="103" t="str">
        <x:v>Pipeline inspection</x:v>
      </x:c>
      <x:c r="I46" s="103" t="str">
        <x:v>READY</x:v>
      </x:c>
      <x:c r="J46" s="103" t="str">
        <x:v>tests/quality/test_infrastructure.py</x:v>
      </x:c>
      <x:c r="K46" s="103" t="str">
        <x:v>Pinned product SHA and independent QA oracle are available.</x:v>
      </x:c>
      <x:c r="L46" s="103" t="str">
        <x:v>No target erase/write job starts automatically; protected manual gate is required.</x:v>
      </x:c>
      <x:c r="M46" s="103" t="str">
        <x:v>NOT_EXECUTED</x:v>
      </x:c>
      <x:c r="N46" s="103" t="str"/>
      <x:c r="O46" s="103" t="str"/>
    </x:row>
    <x:row r="47" ht="45" customHeight="1">
      <x:c r="A47" s="103" t="str">
        <x:v>TC-OTA-VERSION-001</x:v>
      </x:c>
      <x:c r="B47" s="103" t="str">
        <x:v>OTA</x:v>
      </x:c>
      <x:c r="C47" s="103" t="str">
        <x:v>Firmware downgrade policy</x:v>
      </x:c>
      <x:c r="D47" s="103" t="str">
        <x:v>SWRS-OTA-007</x:v>
      </x:c>
      <x:c r="E47" s="103" t="str">
        <x:v>—</x:v>
      </x:c>
      <x:c r="F47" s="103" t="str">
        <x:v>GAP</x:v>
      </x:c>
      <x:c r="G47" s="103" t="str">
        <x:v>GAP</x:v>
      </x:c>
      <x:c r="H47" s="103" t="str">
        <x:v>Requirement analysis</x:v>
      </x:c>
      <x:c r="I47" s="103" t="str">
        <x:v>GAP_REQUIREMENT</x:v>
      </x:c>
      <x:c r="J47" s="103" t="str">
        <x:v>tests/quality/test_declared_gaps.py</x:v>
      </x:c>
      <x:c r="K47" s="103" t="str">
        <x:v>Pinned product SHA and independent QA oracle are available.</x:v>
      </x:c>
      <x:c r="L47" s="103" t="str">
        <x:v>JUnit records GAP_REQUIREMENT, never PASS.</x:v>
      </x:c>
      <x:c r="M47" s="103" t="str">
        <x:v>NOT_EXECUTED</x:v>
      </x:c>
      <x:c r="N47" s="103" t="str"/>
      <x:c r="O47" s="103" t="str"/>
    </x:row>
    <x:row r="48" ht="45" customHeight="1">
      <x:c r="A48" s="103" t="str">
        <x:v>TC-OTA-ROLLBACK-001</x:v>
      </x:c>
      <x:c r="B48" s="103" t="str">
        <x:v>OTA</x:v>
      </x:c>
      <x:c r="C48" s="103" t="str">
        <x:v>Boot failure rollback</x:v>
      </x:c>
      <x:c r="D48" s="103" t="str">
        <x:v>SWRS-OTA-008</x:v>
      </x:c>
      <x:c r="E48" s="103" t="str">
        <x:v>—</x:v>
      </x:c>
      <x:c r="F48" s="103" t="str">
        <x:v>GAP</x:v>
      </x:c>
      <x:c r="G48" s="103" t="str">
        <x:v>GAP/HIL</x:v>
      </x:c>
      <x:c r="H48" s="103" t="str">
        <x:v>Requirement analysis</x:v>
      </x:c>
      <x:c r="I48" s="103" t="str">
        <x:v>GAP_REQUIREMENT</x:v>
      </x:c>
      <x:c r="J48" s="103" t="str">
        <x:v>tests/quality/test_declared_gaps.py;hil/tests/test_ota_power_loss.py</x:v>
      </x:c>
      <x:c r="K48" s="103" t="str">
        <x:v>Pinned product SHA and independent QA oracle are available.</x:v>
      </x:c>
      <x:c r="L48" s="103" t="str">
        <x:v>JUnit records GAP_REQUIREMENT, never PASS.</x:v>
      </x:c>
      <x:c r="M48" s="103" t="str">
        <x:v>NOT_EXECUTED</x:v>
      </x:c>
      <x:c r="N48" s="103" t="str"/>
      <x:c r="O48" s="103" t="str"/>
    </x:row>
    <x:row r="49" ht="45" customHeight="1">
      <x:c r="A49" s="103" t="str">
        <x:v>TC-OTA-XTARGET-001</x:v>
      </x:c>
      <x:c r="B49" s="103" t="str">
        <x:v>OTA</x:v>
      </x:c>
      <x:c r="C49" s="103" t="str">
        <x:v>Wrong ECU image rejection</x:v>
      </x:c>
      <x:c r="D49" s="103" t="str">
        <x:v>SWRS-OTA-009</x:v>
      </x:c>
      <x:c r="E49" s="103" t="str">
        <x:v>—</x:v>
      </x:c>
      <x:c r="F49" s="103" t="str">
        <x:v>GAP</x:v>
      </x:c>
      <x:c r="G49" s="103" t="str">
        <x:v>GAP</x:v>
      </x:c>
      <x:c r="H49" s="103" t="str">
        <x:v>Requirement analysis</x:v>
      </x:c>
      <x:c r="I49" s="103" t="str">
        <x:v>GAP_REQUIREMENT</x:v>
      </x:c>
      <x:c r="J49" s="103" t="str">
        <x:v>tests/quality/test_declared_gaps.py</x:v>
      </x:c>
      <x:c r="K49" s="103" t="str">
        <x:v>Pinned product SHA and independent QA oracle are available.</x:v>
      </x:c>
      <x:c r="L49" s="103" t="str">
        <x:v>JUnit records GAP_REQUIREMENT, never PASS.</x:v>
      </x:c>
      <x:c r="M49" s="103" t="str">
        <x:v>NOT_EXECUTED</x:v>
      </x:c>
      <x:c r="N49" s="103" t="str"/>
      <x:c r="O49" s="103" t="str"/>
    </x:row>
    <x:row r="50" ht="45" customHeight="1">
      <x:c r="A50" s="103" t="str">
        <x:v>TC-INFRA-CM-001</x:v>
      </x:c>
      <x:c r="B50" s="103" t="str">
        <x:v>Infra</x:v>
      </x:c>
      <x:c r="C50" s="103" t="str">
        <x:v>Product SHA artifact and target identity</x:v>
      </x:c>
      <x:c r="D50" s="103" t="str">
        <x:v>SWRS-INFRA-001</x:v>
      </x:c>
      <x:c r="E50" s="103" t="str">
        <x:v>SUP.8</x:v>
      </x:c>
      <x:c r="F50" s="103" t="str">
        <x:v>P0</x:v>
      </x:c>
      <x:c r="G50" s="103" t="str">
        <x:v>Process</x:v>
      </x:c>
      <x:c r="H50" s="103" t="str">
        <x:v>Static/evidence</x:v>
      </x:c>
      <x:c r="I50" s="103" t="str">
        <x:v>READY</x:v>
      </x:c>
      <x:c r="J50" s="103" t="str">
        <x:v>tests/quality/test_infrastructure.py</x:v>
      </x:c>
      <x:c r="K50" s="103" t="str">
        <x:v>Pinned product SHA and independent QA oracle are available.</x:v>
      </x:c>
      <x:c r="L50" s="103" t="str">
        <x:v>Source SHA, ELF/BIN SHA256 and target verification agree.</x:v>
      </x:c>
      <x:c r="M50" s="103" t="str">
        <x:v>NOT_EXECUTED</x:v>
      </x:c>
      <x:c r="N50" s="103" t="str"/>
      <x:c r="O50" s="103" t="str"/>
    </x:row>
    <x:row r="51" ht="45" customHeight="1">
      <x:c r="A51" s="103" t="str">
        <x:v>TC-INFRA-PIPE-001</x:v>
      </x:c>
      <x:c r="B51" s="103" t="str">
        <x:v>Infra</x:v>
      </x:c>
      <x:c r="C51" s="103" t="str">
        <x:v>Ubuntu to Raspberry Pi pipeline topology</x:v>
      </x:c>
      <x:c r="D51" s="103" t="str">
        <x:v>SWRS-INFRA-002</x:v>
      </x:c>
      <x:c r="E51" s="103" t="str">
        <x:v>SUP.8</x:v>
      </x:c>
      <x:c r="F51" s="103" t="str">
        <x:v>P0</x:v>
      </x:c>
      <x:c r="G51" s="103" t="str">
        <x:v>Process</x:v>
      </x:c>
      <x:c r="H51" s="103" t="str">
        <x:v>Pipeline</x:v>
      </x:c>
      <x:c r="I51" s="103" t="str">
        <x:v>READY</x:v>
      </x:c>
      <x:c r="J51" s="103" t="str">
        <x:v>tests/quality/test_infrastructure.py</x:v>
      </x:c>
      <x:c r="K51" s="103" t="str">
        <x:v>Pinned product SHA and independent QA oracle are available.</x:v>
      </x:c>
      <x:c r="L51" s="103" t="str">
        <x:v>Jobs use intended runner tags and artifacts flow forward.</x:v>
      </x:c>
      <x:c r="M51" s="103" t="str">
        <x:v>NOT_EXECUTED</x:v>
      </x:c>
      <x:c r="N51" s="103" t="str"/>
      <x:c r="O51" s="103" t="str"/>
    </x:row>
    <x:row r="52" ht="45" customHeight="1">
      <x:c r="A52" s="103" t="str">
        <x:v>TC-INFRA-RES-001</x:v>
      </x:c>
      <x:c r="B52" s="103" t="str">
        <x:v>Infra</x:v>
      </x:c>
      <x:c r="C52" s="103" t="str">
        <x:v>Result classification integrity</x:v>
      </x:c>
      <x:c r="D52" s="103" t="str">
        <x:v>SWRS-INFRA-003</x:v>
      </x:c>
      <x:c r="E52" s="103" t="str">
        <x:v>SUP.9</x:v>
      </x:c>
      <x:c r="F52" s="103" t="str">
        <x:v>P0</x:v>
      </x:c>
      <x:c r="G52" s="103" t="str">
        <x:v>Process</x:v>
      </x:c>
      <x:c r="H52" s="103" t="str">
        <x:v>Schema</x:v>
      </x:c>
      <x:c r="I52" s="103" t="str">
        <x:v>READY</x:v>
      </x:c>
      <x:c r="J52" s="103" t="str">
        <x:v>tests/quality/test_infrastructure.py</x:v>
      </x:c>
      <x:c r="K52" s="103" t="str">
        <x:v>Pinned product SHA and independent QA oracle are available.</x:v>
      </x:c>
      <x:c r="L52" s="103" t="str">
        <x:v>Product/test/gap/config/infra outcomes remain distinguishable.</x:v>
      </x:c>
      <x:c r="M52" s="103" t="str">
        <x:v>NOT_EXECUTED</x:v>
      </x:c>
      <x:c r="N52" s="103" t="str"/>
      <x:c r="O52" s="103" t="str"/>
    </x:row>
    <x:row r="53" ht="45" customHeight="1">
      <x:c r="A53" s="103" t="str">
        <x:v>TC-INFRA-JUNIT-001</x:v>
      </x:c>
      <x:c r="B53" s="103" t="str">
        <x:v>Infra</x:v>
      </x:c>
      <x:c r="C53" s="103" t="str">
        <x:v>JUnit and evidence artifact generation</x:v>
      </x:c>
      <x:c r="D53" s="103" t="str">
        <x:v>SWRS-INFRA-003</x:v>
      </x:c>
      <x:c r="E53" s="103" t="str">
        <x:v>SUP.8</x:v>
      </x:c>
      <x:c r="F53" s="103" t="str">
        <x:v>P1</x:v>
      </x:c>
      <x:c r="G53" s="103" t="str">
        <x:v>Process</x:v>
      </x:c>
      <x:c r="H53" s="103" t="str">
        <x:v>Self-test</x:v>
      </x:c>
      <x:c r="I53" s="103" t="str">
        <x:v>READY</x:v>
      </x:c>
      <x:c r="J53" s="103" t="str">
        <x:v>tests/quality/test_infrastructure.py</x:v>
      </x:c>
      <x:c r="K53" s="103" t="str">
        <x:v>Pinned product SHA and independent QA oracle are available.</x:v>
      </x:c>
      <x:c r="L53" s="103" t="str">
        <x:v>Counts, failure and skipped nodes are machine-readable.</x:v>
      </x:c>
      <x:c r="M53" s="103" t="str">
        <x:v>NOT_EXECUTED</x:v>
      </x:c>
      <x:c r="N53" s="103" t="str"/>
      <x:c r="O53" s="103" t="str"/>
    </x:row>
    <x:row r="54" ht="45" customHeight="1">
      <x:c r="A54" s="103" t="str">
        <x:v>TC-GA-DECODE-001</x:v>
      </x:c>
      <x:c r="B54" s="103" t="str">
        <x:v>Gateway</x:v>
      </x:c>
      <x:c r="C54" s="103" t="str">
        <x:v>Gateway input decoding</x:v>
      </x:c>
      <x:c r="D54" s="103" t="str">
        <x:v>SWRS-GA-001</x:v>
      </x:c>
      <x:c r="E54" s="103" t="str">
        <x:v>SWE.4</x:v>
      </x:c>
      <x:c r="F54" s="103" t="str">
        <x:v>P2</x:v>
      </x:c>
      <x:c r="G54" s="103" t="str">
        <x:v>Contract waiting</x:v>
      </x:c>
      <x:c r="H54" s="103" t="str">
        <x:v>Contract</x:v>
      </x:c>
      <x:c r="I54" s="103" t="str">
        <x:v>CONTRACT_WAITING</x:v>
      </x:c>
      <x:c r="J54" s="103" t="str">
        <x:v>tests/quality/test_gateway_contract.py</x:v>
      </x:c>
      <x:c r="K54" s="103" t="str">
        <x:v>Pinned product SHA and independent QA oracle are available.</x:v>
      </x:c>
      <x:c r="L54" s="103" t="str">
        <x:v>BLOCKED_INFRA is recorded, not PASS.</x:v>
      </x:c>
      <x:c r="M54" s="103" t="str">
        <x:v>NOT_EXECUTED</x:v>
      </x:c>
      <x:c r="N54" s="103" t="str"/>
      <x:c r="O54" s="103" t="str"/>
    </x:row>
    <x:row r="55" ht="45" customHeight="1">
      <x:c r="A55" s="103" t="str">
        <x:v>TC-GA-STATE-001</x:v>
      </x:c>
      <x:c r="B55" s="103" t="str">
        <x:v>Gateway</x:v>
      </x:c>
      <x:c r="C55" s="103" t="str">
        <x:v>Gateway state normalization</x:v>
      </x:c>
      <x:c r="D55" s="103" t="str">
        <x:v>SWRS-GA-001</x:v>
      </x:c>
      <x:c r="E55" s="103" t="str">
        <x:v>SWE.5</x:v>
      </x:c>
      <x:c r="F55" s="103" t="str">
        <x:v>P2</x:v>
      </x:c>
      <x:c r="G55" s="103" t="str">
        <x:v>Contract waiting</x:v>
      </x:c>
      <x:c r="H55" s="103" t="str">
        <x:v>Contract</x:v>
      </x:c>
      <x:c r="I55" s="103" t="str">
        <x:v>CONTRACT_WAITING</x:v>
      </x:c>
      <x:c r="J55" s="103" t="str">
        <x:v>tests/quality/test_gateway_contract.py</x:v>
      </x:c>
      <x:c r="K55" s="103" t="str">
        <x:v>Pinned product SHA and independent QA oracle are available.</x:v>
      </x:c>
      <x:c r="L55" s="103" t="str">
        <x:v>BLOCKED_INFRA is recorded, not PASS.</x:v>
      </x:c>
      <x:c r="M55" s="103" t="str">
        <x:v>NOT_EXECUTED</x:v>
      </x:c>
      <x:c r="N55" s="103" t="str"/>
      <x:c r="O55" s="103" t="str"/>
    </x:row>
    <x:row r="56" ht="45" customHeight="1">
      <x:c r="A56" s="103" t="str">
        <x:v>TC-GA-STALE-001</x:v>
      </x:c>
      <x:c r="B56" s="103" t="str">
        <x:v>Gateway</x:v>
      </x:c>
      <x:c r="C56" s="103" t="str">
        <x:v>Gateway stale-data handling</x:v>
      </x:c>
      <x:c r="D56" s="103" t="str">
        <x:v>SWRS-GA-001</x:v>
      </x:c>
      <x:c r="E56" s="103" t="str">
        <x:v>SWE.5</x:v>
      </x:c>
      <x:c r="F56" s="103" t="str">
        <x:v>P2</x:v>
      </x:c>
      <x:c r="G56" s="103" t="str">
        <x:v>Contract waiting</x:v>
      </x:c>
      <x:c r="H56" s="103" t="str">
        <x:v>Contract</x:v>
      </x:c>
      <x:c r="I56" s="103" t="str">
        <x:v>CONTRACT_WAITING</x:v>
      </x:c>
      <x:c r="J56" s="103" t="str">
        <x:v>tests/quality/test_gateway_contract.py</x:v>
      </x:c>
      <x:c r="K56" s="103" t="str">
        <x:v>Pinned product SHA and independent QA oracle are available.</x:v>
      </x:c>
      <x:c r="L56" s="103" t="str">
        <x:v>BLOCKED_INFRA is recorded, not PASS.</x:v>
      </x:c>
      <x:c r="M56" s="103" t="str">
        <x:v>NOT_EXECUTED</x:v>
      </x:c>
      <x:c r="N56" s="103" t="str"/>
      <x:c r="O56" s="103" t="str"/>
    </x:row>
    <x:row r="57" ht="45" customHeight="1">
      <x:c r="A57" s="103" t="str">
        <x:v>TC-GA-INVALID-001</x:v>
      </x:c>
      <x:c r="B57" s="103" t="str">
        <x:v>Gateway</x:v>
      </x:c>
      <x:c r="C57" s="103" t="str">
        <x:v>Gateway invalid-input handling</x:v>
      </x:c>
      <x:c r="D57" s="103" t="str">
        <x:v>SWRS-GA-001</x:v>
      </x:c>
      <x:c r="E57" s="103" t="str">
        <x:v>SWE.4</x:v>
      </x:c>
      <x:c r="F57" s="103" t="str">
        <x:v>P2</x:v>
      </x:c>
      <x:c r="G57" s="103" t="str">
        <x:v>Contract waiting</x:v>
      </x:c>
      <x:c r="H57" s="103" t="str">
        <x:v>Contract</x:v>
      </x:c>
      <x:c r="I57" s="103" t="str">
        <x:v>CONTRACT_WAITING</x:v>
      </x:c>
      <x:c r="J57" s="103" t="str">
        <x:v>tests/quality/test_gateway_contract.py</x:v>
      </x:c>
      <x:c r="K57" s="103" t="str">
        <x:v>Pinned product SHA and independent QA oracle are available.</x:v>
      </x:c>
      <x:c r="L57" s="103" t="str">
        <x:v>BLOCKED_INFRA is recorded, not PASS.</x:v>
      </x:c>
      <x:c r="M57" s="103" t="str">
        <x:v>NOT_EXECUTED</x:v>
      </x:c>
      <x:c r="N57" s="103" t="str"/>
      <x:c r="O57" s="103" t="str"/>
    </x:row>
    <x:row r="58" ht="45" customHeight="1">
      <x:c r="A58" s="103" t="str">
        <x:v>TC-GA-LOG-001</x:v>
      </x:c>
      <x:c r="B58" s="103" t="str">
        <x:v>Gateway</x:v>
      </x:c>
      <x:c r="C58" s="103" t="str">
        <x:v>Gateway diagnostic logging</x:v>
      </x:c>
      <x:c r="D58" s="103" t="str">
        <x:v>SWRS-GA-001</x:v>
      </x:c>
      <x:c r="E58" s="103" t="str">
        <x:v>SWE.5</x:v>
      </x:c>
      <x:c r="F58" s="103" t="str">
        <x:v>P2</x:v>
      </x:c>
      <x:c r="G58" s="103" t="str">
        <x:v>Contract waiting</x:v>
      </x:c>
      <x:c r="H58" s="103" t="str">
        <x:v>Contract</x:v>
      </x:c>
      <x:c r="I58" s="103" t="str">
        <x:v>CONTRACT_WAITING</x:v>
      </x:c>
      <x:c r="J58" s="103" t="str">
        <x:v>tests/quality/test_gateway_contract.py</x:v>
      </x:c>
      <x:c r="K58" s="103" t="str">
        <x:v>Pinned product SHA and independent QA oracle are available.</x:v>
      </x:c>
      <x:c r="L58" s="103" t="str">
        <x:v>BLOCKED_INFRA is recorded, not PASS.</x:v>
      </x:c>
      <x:c r="M58" s="103" t="str">
        <x:v>NOT_EXECUTED</x:v>
      </x:c>
      <x:c r="N58" s="103" t="str"/>
      <x:c r="O58" s="103" t="str"/>
    </x:row>
  </x:sheetData>
  <x:mergeCells>
    <x:mergeCell ref="A1:O1"/>
    <x:mergeCell ref="A2:O2"/>
  </x:mergeCells>
  <x:conditionalFormatting sqref="I5:I58">
    <x:cfRule type="containsText" dxfId="0" priority="1" operator="containsText" text="GAP"/>
    <x:cfRule type="containsText" dxfId="1" priority="2" operator="containsText" text="CONTRACT_WAITING"/>
  </x:conditionalFormatting>
  <x:conditionalFormatting sqref="M5:M58">
    <x:cfRule type="containsText" dxfId="2" priority="3" operator="containsText" text="PASS"/>
    <x:cfRule type="containsText" dxfId="3" priority="4" operator="containsText" text="FAIL"/>
    <x:cfRule type="containsText" dxfId="4" priority="5" operator="containsText" text="BLOCKED"/>
  </x:conditionalFormatting>
  <x:dataValidations count="1">
    <x:dataValidation type="list" sqref="M5:M58">
      <x:formula1>"NOT_EXECUTED,PASS,FAIL_PRODUCT,GAP_REQUIREMENT,FAIL_TEST,BLOCKED_INFRA,MISMATCH_CONFIGURATION,NOT_APPLICABLE"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d54a4d16324c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38" hidden="0" customWidth="1"/>
  </x:cols>
  <x:sheetData>
    <x:row r="1" ht="30" customHeight="1">
      <x:c r="A1" s="3" t="str">
        <x:v>SWRS Coverage Index</x:v>
      </x:c>
    </x:row>
    <x:row r="3">
      <x:c r="A3" s="50" t="str">
        <x:v>Requirement ID</x:v>
      </x:c>
      <x:c r="B3" s="101" t="str">
        <x:v>Area</x:v>
      </x:c>
      <x:c r="C3" s="101" t="str">
        <x:v>Linked Tests</x:v>
      </x:c>
      <x:c r="D3" s="101" t="str">
        <x:v>P0 Tests</x:v>
      </x:c>
      <x:c r="E3" s="101" t="str">
        <x:v>Coverage State</x:v>
      </x:c>
      <x:c r="F3" s="51" t="str">
        <x:v>Review Note</x:v>
      </x:c>
    </x:row>
    <x:row r="4">
      <x:c r="A4" s="103" t="str">
        <x:v>SWRS-BMS-001</x:v>
      </x:c>
      <x:c r="B4" s="103" t="str">
        <x:v>BMS</x:v>
      </x:c>
      <x:c r="C4" s="103" t="n">
        <x:f>COUNTIF(Trace_Map!$A$4:$A$66,"SWRS-BMS-001")</x:f>
        <x:v>2</x:v>
      </x:c>
      <x:c r="D4" s="103" t="n">
        <x:f>COUNTIFS(Trace_Map!$A$4:$A$66,"SWRS-BMS-001",Trace_Map!$C$4:$C$66,"P0")</x:f>
        <x:v>2</x:v>
      </x:c>
      <x:c r="E4" s="103" t="str">
        <x:f>IF(C4&gt;0,"LINKED","MISSING")</x:f>
        <x:v>LINKED</x:v>
      </x:c>
      <x:c r="F4" s="103" t="str">
        <x:v>See SWRS.md for SHALL statement</x:v>
      </x:c>
    </x:row>
    <x:row r="5">
      <x:c r="A5" s="103" t="str">
        <x:v>SWRS-BMS-002</x:v>
      </x:c>
      <x:c r="B5" s="103" t="str">
        <x:v>BMS</x:v>
      </x:c>
      <x:c r="C5" s="103" t="n">
        <x:f>COUNTIF(Trace_Map!$A$4:$A$66,"SWRS-BMS-002")</x:f>
        <x:v>1</x:v>
      </x:c>
      <x:c r="D5" s="103" t="n">
        <x:f>COUNTIFS(Trace_Map!$A$4:$A$66,"SWRS-BMS-002",Trace_Map!$C$4:$C$66,"P0")</x:f>
        <x:v>1</x:v>
      </x:c>
      <x:c r="E5" s="103" t="str">
        <x:f>IF(C5&gt;0,"LINKED","MISSING")</x:f>
        <x:v>LINKED</x:v>
      </x:c>
      <x:c r="F5" s="103" t="str">
        <x:v>See SWRS.md for SHALL statement</x:v>
      </x:c>
    </x:row>
    <x:row r="6">
      <x:c r="A6" s="103" t="str">
        <x:v>SWRS-BMS-003</x:v>
      </x:c>
      <x:c r="B6" s="103" t="str">
        <x:v>BMS</x:v>
      </x:c>
      <x:c r="C6" s="103" t="n">
        <x:f>COUNTIF(Trace_Map!$A$4:$A$66,"SWRS-BMS-003")</x:f>
        <x:v>1</x:v>
      </x:c>
      <x:c r="D6" s="103" t="n">
        <x:f>COUNTIFS(Trace_Map!$A$4:$A$66,"SWRS-BMS-003",Trace_Map!$C$4:$C$66,"P0")</x:f>
        <x:v>1</x:v>
      </x:c>
      <x:c r="E6" s="103" t="str">
        <x:f>IF(C6&gt;0,"LINKED","MISSING")</x:f>
        <x:v>LINKED</x:v>
      </x:c>
      <x:c r="F6" s="103" t="str">
        <x:v>See SWRS.md for SHALL statement</x:v>
      </x:c>
    </x:row>
    <x:row r="7">
      <x:c r="A7" s="103" t="str">
        <x:v>SWRS-BMS-004</x:v>
      </x:c>
      <x:c r="B7" s="103" t="str">
        <x:v>BMS</x:v>
      </x:c>
      <x:c r="C7" s="103" t="n">
        <x:f>COUNTIF(Trace_Map!$A$4:$A$66,"SWRS-BMS-004")</x:f>
        <x:v>1</x:v>
      </x:c>
      <x:c r="D7" s="103" t="n">
        <x:f>COUNTIFS(Trace_Map!$A$4:$A$66,"SWRS-BMS-004",Trace_Map!$C$4:$C$66,"P0")</x:f>
        <x:v>1</x:v>
      </x:c>
      <x:c r="E7" s="103" t="str">
        <x:f>IF(C7&gt;0,"LINKED","MISSING")</x:f>
        <x:v>LINKED</x:v>
      </x:c>
      <x:c r="F7" s="103" t="str">
        <x:v>See SWRS.md for SHALL statement</x:v>
      </x:c>
    </x:row>
    <x:row r="8">
      <x:c r="A8" s="103" t="str">
        <x:v>SWRS-BMS-005</x:v>
      </x:c>
      <x:c r="B8" s="103" t="str">
        <x:v>BMS</x:v>
      </x:c>
      <x:c r="C8" s="103" t="n">
        <x:f>COUNTIF(Trace_Map!$A$4:$A$66,"SWRS-BMS-005")</x:f>
        <x:v>1</x:v>
      </x:c>
      <x:c r="D8" s="103" t="n">
        <x:f>COUNTIFS(Trace_Map!$A$4:$A$66,"SWRS-BMS-005",Trace_Map!$C$4:$C$66,"P0")</x:f>
        <x:v>1</x:v>
      </x:c>
      <x:c r="E8" s="103" t="str">
        <x:f>IF(C8&gt;0,"LINKED","MISSING")</x:f>
        <x:v>LINKED</x:v>
      </x:c>
      <x:c r="F8" s="103" t="str">
        <x:v>See SWRS.md for SHALL statement</x:v>
      </x:c>
    </x:row>
    <x:row r="9">
      <x:c r="A9" s="103" t="str">
        <x:v>SWRS-BMS-006</x:v>
      </x:c>
      <x:c r="B9" s="103" t="str">
        <x:v>BMS</x:v>
      </x:c>
      <x:c r="C9" s="103" t="n">
        <x:f>COUNTIF(Trace_Map!$A$4:$A$66,"SWRS-BMS-006")</x:f>
        <x:v>1</x:v>
      </x:c>
      <x:c r="D9" s="103" t="n">
        <x:f>COUNTIFS(Trace_Map!$A$4:$A$66,"SWRS-BMS-006",Trace_Map!$C$4:$C$66,"P0")</x:f>
        <x:v>1</x:v>
      </x:c>
      <x:c r="E9" s="103" t="str">
        <x:f>IF(C9&gt;0,"LINKED","MISSING")</x:f>
        <x:v>LINKED</x:v>
      </x:c>
      <x:c r="F9" s="103" t="str">
        <x:v>See SWRS.md for SHALL statement</x:v>
      </x:c>
    </x:row>
    <x:row r="10">
      <x:c r="A10" s="103" t="str">
        <x:v>SWRS-BMS-007</x:v>
      </x:c>
      <x:c r="B10" s="103" t="str">
        <x:v>BMS</x:v>
      </x:c>
      <x:c r="C10" s="103" t="n">
        <x:f>COUNTIF(Trace_Map!$A$4:$A$66,"SWRS-BMS-007")</x:f>
        <x:v>3</x:v>
      </x:c>
      <x:c r="D10" s="103" t="n">
        <x:f>COUNTIFS(Trace_Map!$A$4:$A$66,"SWRS-BMS-007",Trace_Map!$C$4:$C$66,"P0")</x:f>
        <x:v>3</x:v>
      </x:c>
      <x:c r="E10" s="103" t="str">
        <x:f>IF(C10&gt;0,"LINKED","MISSING")</x:f>
        <x:v>LINKED</x:v>
      </x:c>
      <x:c r="F10" s="103" t="str">
        <x:v>See SWRS.md for SHALL statement</x:v>
      </x:c>
    </x:row>
    <x:row r="11">
      <x:c r="A11" s="103" t="str">
        <x:v>SWRS-BMS-008</x:v>
      </x:c>
      <x:c r="B11" s="103" t="str">
        <x:v>BMS</x:v>
      </x:c>
      <x:c r="C11" s="103" t="n">
        <x:f>COUNTIF(Trace_Map!$A$4:$A$66,"SWRS-BMS-008")</x:f>
        <x:v>2</x:v>
      </x:c>
      <x:c r="D11" s="103" t="n">
        <x:f>COUNTIFS(Trace_Map!$A$4:$A$66,"SWRS-BMS-008",Trace_Map!$C$4:$C$66,"P0")</x:f>
        <x:v>2</x:v>
      </x:c>
      <x:c r="E11" s="103" t="str">
        <x:f>IF(C11&gt;0,"LINKED","MISSING")</x:f>
        <x:v>LINKED</x:v>
      </x:c>
      <x:c r="F11" s="103" t="str">
        <x:v>See SWRS.md for SHALL statement</x:v>
      </x:c>
    </x:row>
    <x:row r="12">
      <x:c r="A12" s="103" t="str">
        <x:v>SWRS-BMS-009</x:v>
      </x:c>
      <x:c r="B12" s="103" t="str">
        <x:v>BMS</x:v>
      </x:c>
      <x:c r="C12" s="103" t="n">
        <x:f>COUNTIF(Trace_Map!$A$4:$A$66,"SWRS-BMS-009")</x:f>
        <x:v>3</x:v>
      </x:c>
      <x:c r="D12" s="103" t="n">
        <x:f>COUNTIFS(Trace_Map!$A$4:$A$66,"SWRS-BMS-009",Trace_Map!$C$4:$C$66,"P0")</x:f>
        <x:v>2</x:v>
      </x:c>
      <x:c r="E12" s="103" t="str">
        <x:f>IF(C12&gt;0,"LINKED","MISSING")</x:f>
        <x:v>LINKED</x:v>
      </x:c>
      <x:c r="F12" s="103" t="str">
        <x:v>See SWRS.md for SHALL statement</x:v>
      </x:c>
    </x:row>
    <x:row r="13">
      <x:c r="A13" s="103" t="str">
        <x:v>SWRS-BMS-010</x:v>
      </x:c>
      <x:c r="B13" s="103" t="str">
        <x:v>BMS</x:v>
      </x:c>
      <x:c r="C13" s="103" t="n">
        <x:f>COUNTIF(Trace_Map!$A$4:$A$66,"SWRS-BMS-010")</x:f>
        <x:v>1</x:v>
      </x:c>
      <x:c r="D13" s="103" t="n">
        <x:f>COUNTIFS(Trace_Map!$A$4:$A$66,"SWRS-BMS-010",Trace_Map!$C$4:$C$66,"P0")</x:f>
        <x:v>1</x:v>
      </x:c>
      <x:c r="E13" s="103" t="str">
        <x:f>IF(C13&gt;0,"LINKED","MISSING")</x:f>
        <x:v>LINKED</x:v>
      </x:c>
      <x:c r="F13" s="103" t="str">
        <x:v>See SWRS.md for SHALL statement</x:v>
      </x:c>
    </x:row>
    <x:row r="14">
      <x:c r="A14" s="103" t="str">
        <x:v>SWRS-BMS-011</x:v>
      </x:c>
      <x:c r="B14" s="103" t="str">
        <x:v>BMS</x:v>
      </x:c>
      <x:c r="C14" s="103" t="n">
        <x:f>COUNTIF(Trace_Map!$A$4:$A$66,"SWRS-BMS-011")</x:f>
        <x:v>1</x:v>
      </x:c>
      <x:c r="D14" s="103" t="n">
        <x:f>COUNTIFS(Trace_Map!$A$4:$A$66,"SWRS-BMS-011",Trace_Map!$C$4:$C$66,"P0")</x:f>
        <x:v>1</x:v>
      </x:c>
      <x:c r="E14" s="103" t="str">
        <x:f>IF(C14&gt;0,"LINKED","MISSING")</x:f>
        <x:v>LINKED</x:v>
      </x:c>
      <x:c r="F14" s="103" t="str">
        <x:v>See SWRS.md for SHALL statement</x:v>
      </x:c>
    </x:row>
    <x:row r="15">
      <x:c r="A15" s="103" t="str">
        <x:v>SWRS-BMS-012</x:v>
      </x:c>
      <x:c r="B15" s="103" t="str">
        <x:v>BMS</x:v>
      </x:c>
      <x:c r="C15" s="103" t="n">
        <x:f>COUNTIF(Trace_Map!$A$4:$A$66,"SWRS-BMS-012")</x:f>
        <x:v>2</x:v>
      </x:c>
      <x:c r="D15" s="103" t="n">
        <x:f>COUNTIFS(Trace_Map!$A$4:$A$66,"SWRS-BMS-012",Trace_Map!$C$4:$C$66,"P0")</x:f>
        <x:v>1</x:v>
      </x:c>
      <x:c r="E15" s="103" t="str">
        <x:f>IF(C15&gt;0,"LINKED","MISSING")</x:f>
        <x:v>LINKED</x:v>
      </x:c>
      <x:c r="F15" s="103" t="str">
        <x:v>See SWRS.md for SHALL statement</x:v>
      </x:c>
    </x:row>
    <x:row r="16">
      <x:c r="A16" s="103" t="str">
        <x:v>SWRS-CAN-001</x:v>
      </x:c>
      <x:c r="B16" s="103" t="str">
        <x:v>CAN</x:v>
      </x:c>
      <x:c r="C16" s="103" t="n">
        <x:f>COUNTIF(Trace_Map!$A$4:$A$66,"SWRS-CAN-001")</x:f>
        <x:v>2</x:v>
      </x:c>
      <x:c r="D16" s="103" t="n">
        <x:f>COUNTIFS(Trace_Map!$A$4:$A$66,"SWRS-CAN-001",Trace_Map!$C$4:$C$66,"P0")</x:f>
        <x:v>2</x:v>
      </x:c>
      <x:c r="E16" s="103" t="str">
        <x:f>IF(C16&gt;0,"LINKED","MISSING")</x:f>
        <x:v>LINKED</x:v>
      </x:c>
      <x:c r="F16" s="103" t="str">
        <x:v>See SWRS.md for SHALL statement</x:v>
      </x:c>
    </x:row>
    <x:row r="17">
      <x:c r="A17" s="103" t="str">
        <x:v>SWRS-CAN-002</x:v>
      </x:c>
      <x:c r="B17" s="103" t="str">
        <x:v>CAN</x:v>
      </x:c>
      <x:c r="C17" s="103" t="n">
        <x:f>COUNTIF(Trace_Map!$A$4:$A$66,"SWRS-CAN-002")</x:f>
        <x:v>2</x:v>
      </x:c>
      <x:c r="D17" s="103" t="n">
        <x:f>COUNTIFS(Trace_Map!$A$4:$A$66,"SWRS-CAN-002",Trace_Map!$C$4:$C$66,"P0")</x:f>
        <x:v>2</x:v>
      </x:c>
      <x:c r="E17" s="103" t="str">
        <x:f>IF(C17&gt;0,"LINKED","MISSING")</x:f>
        <x:v>LINKED</x:v>
      </x:c>
      <x:c r="F17" s="103" t="str">
        <x:v>See SWRS.md for SHALL statement</x:v>
      </x:c>
    </x:row>
    <x:row r="18">
      <x:c r="A18" s="103" t="str">
        <x:v>SWRS-CAN-003</x:v>
      </x:c>
      <x:c r="B18" s="103" t="str">
        <x:v>CAN</x:v>
      </x:c>
      <x:c r="C18" s="103" t="n">
        <x:f>COUNTIF(Trace_Map!$A$4:$A$66,"SWRS-CAN-003")</x:f>
        <x:v>2</x:v>
      </x:c>
      <x:c r="D18" s="103" t="n">
        <x:f>COUNTIFS(Trace_Map!$A$4:$A$66,"SWRS-CAN-003",Trace_Map!$C$4:$C$66,"P0")</x:f>
        <x:v>2</x:v>
      </x:c>
      <x:c r="E18" s="103" t="str">
        <x:f>IF(C18&gt;0,"LINKED","MISSING")</x:f>
        <x:v>LINKED</x:v>
      </x:c>
      <x:c r="F18" s="103" t="str">
        <x:v>See SWRS.md for SHALL statement</x:v>
      </x:c>
    </x:row>
    <x:row r="19">
      <x:c r="A19" s="103" t="str">
        <x:v>SWRS-CAN-004</x:v>
      </x:c>
      <x:c r="B19" s="103" t="str">
        <x:v>CAN</x:v>
      </x:c>
      <x:c r="C19" s="103" t="n">
        <x:f>COUNTIF(Trace_Map!$A$4:$A$66,"SWRS-CAN-004")</x:f>
        <x:v>2</x:v>
      </x:c>
      <x:c r="D19" s="103" t="n">
        <x:f>COUNTIFS(Trace_Map!$A$4:$A$66,"SWRS-CAN-004",Trace_Map!$C$4:$C$66,"P0")</x:f>
        <x:v>1</x:v>
      </x:c>
      <x:c r="E19" s="103" t="str">
        <x:f>IF(C19&gt;0,"LINKED","MISSING")</x:f>
        <x:v>LINKED</x:v>
      </x:c>
      <x:c r="F19" s="103" t="str">
        <x:v>See SWRS.md for SHALL statement</x:v>
      </x:c>
    </x:row>
    <x:row r="20">
      <x:c r="A20" s="103" t="str">
        <x:v>SWRS-CAN-005</x:v>
      </x:c>
      <x:c r="B20" s="103" t="str">
        <x:v>CAN</x:v>
      </x:c>
      <x:c r="C20" s="103" t="n">
        <x:f>COUNTIF(Trace_Map!$A$4:$A$66,"SWRS-CAN-005")</x:f>
        <x:v>1</x:v>
      </x:c>
      <x:c r="D20" s="103" t="n">
        <x:f>COUNTIFS(Trace_Map!$A$4:$A$66,"SWRS-CAN-005",Trace_Map!$C$4:$C$66,"P0")</x:f>
        <x:v>1</x:v>
      </x:c>
      <x:c r="E20" s="103" t="str">
        <x:f>IF(C20&gt;0,"LINKED","MISSING")</x:f>
        <x:v>LINKED</x:v>
      </x:c>
      <x:c r="F20" s="103" t="str">
        <x:v>See SWRS.md for SHALL statement</x:v>
      </x:c>
    </x:row>
    <x:row r="21">
      <x:c r="A21" s="103" t="str">
        <x:v>SWRS-CAN-006</x:v>
      </x:c>
      <x:c r="B21" s="103" t="str">
        <x:v>CAN</x:v>
      </x:c>
      <x:c r="C21" s="103" t="n">
        <x:f>COUNTIF(Trace_Map!$A$4:$A$66,"SWRS-CAN-006")</x:f>
        <x:v>2</x:v>
      </x:c>
      <x:c r="D21" s="103" t="n">
        <x:f>COUNTIFS(Trace_Map!$A$4:$A$66,"SWRS-CAN-006",Trace_Map!$C$4:$C$66,"P0")</x:f>
        <x:v>2</x:v>
      </x:c>
      <x:c r="E21" s="103" t="str">
        <x:f>IF(C21&gt;0,"LINKED","MISSING")</x:f>
        <x:v>LINKED</x:v>
      </x:c>
      <x:c r="F21" s="103" t="str">
        <x:v>See SWRS.md for SHALL statement</x:v>
      </x:c>
    </x:row>
    <x:row r="22">
      <x:c r="A22" s="103" t="str">
        <x:v>SWRS-CAN-007</x:v>
      </x:c>
      <x:c r="B22" s="103" t="str">
        <x:v>CAN</x:v>
      </x:c>
      <x:c r="C22" s="103" t="n">
        <x:f>COUNTIF(Trace_Map!$A$4:$A$66,"SWRS-CAN-007")</x:f>
        <x:v>1</x:v>
      </x:c>
      <x:c r="D22" s="103" t="n">
        <x:f>COUNTIFS(Trace_Map!$A$4:$A$66,"SWRS-CAN-007",Trace_Map!$C$4:$C$66,"P0")</x:f>
        <x:v>0</x:v>
      </x:c>
      <x:c r="E22" s="103" t="str">
        <x:f>IF(C22&gt;0,"LINKED","MISSING")</x:f>
        <x:v>LINKED</x:v>
      </x:c>
      <x:c r="F22" s="103" t="str">
        <x:v>See SWRS.md for SHALL statement</x:v>
      </x:c>
    </x:row>
    <x:row r="23">
      <x:c r="A23" s="103" t="str">
        <x:v>SWRS-EVSE-001</x:v>
      </x:c>
      <x:c r="B23" s="103" t="str">
        <x:v>EVSE</x:v>
      </x:c>
      <x:c r="C23" s="103" t="n">
        <x:f>COUNTIF(Trace_Map!$A$4:$A$66,"SWRS-EVSE-001")</x:f>
        <x:v>2</x:v>
      </x:c>
      <x:c r="D23" s="103" t="n">
        <x:f>COUNTIFS(Trace_Map!$A$4:$A$66,"SWRS-EVSE-001",Trace_Map!$C$4:$C$66,"P0")</x:f>
        <x:v>2</x:v>
      </x:c>
      <x:c r="E23" s="103" t="str">
        <x:f>IF(C23&gt;0,"LINKED","MISSING")</x:f>
        <x:v>LINKED</x:v>
      </x:c>
      <x:c r="F23" s="103" t="str">
        <x:v>See SWRS.md for SHALL statement</x:v>
      </x:c>
    </x:row>
    <x:row r="24">
      <x:c r="A24" s="103" t="str">
        <x:v>SWRS-EVSE-002</x:v>
      </x:c>
      <x:c r="B24" s="103" t="str">
        <x:v>EVSE</x:v>
      </x:c>
      <x:c r="C24" s="103" t="n">
        <x:f>COUNTIF(Trace_Map!$A$4:$A$66,"SWRS-EVSE-002")</x:f>
        <x:v>1</x:v>
      </x:c>
      <x:c r="D24" s="103" t="n">
        <x:f>COUNTIFS(Trace_Map!$A$4:$A$66,"SWRS-EVSE-002",Trace_Map!$C$4:$C$66,"P0")</x:f>
        <x:v>0</x:v>
      </x:c>
      <x:c r="E24" s="103" t="str">
        <x:f>IF(C24&gt;0,"LINKED","MISSING")</x:f>
        <x:v>LINKED</x:v>
      </x:c>
      <x:c r="F24" s="103" t="str">
        <x:v>See SWRS.md for SHALL statement</x:v>
      </x:c>
    </x:row>
    <x:row r="25">
      <x:c r="A25" s="103" t="str">
        <x:v>SWRS-EVSE-003</x:v>
      </x:c>
      <x:c r="B25" s="103" t="str">
        <x:v>EVSE</x:v>
      </x:c>
      <x:c r="C25" s="103" t="n">
        <x:f>COUNTIF(Trace_Map!$A$4:$A$66,"SWRS-EVSE-003")</x:f>
        <x:v>1</x:v>
      </x:c>
      <x:c r="D25" s="103" t="n">
        <x:f>COUNTIFS(Trace_Map!$A$4:$A$66,"SWRS-EVSE-003",Trace_Map!$C$4:$C$66,"P0")</x:f>
        <x:v>1</x:v>
      </x:c>
      <x:c r="E25" s="103" t="str">
        <x:f>IF(C25&gt;0,"LINKED","MISSING")</x:f>
        <x:v>LINKED</x:v>
      </x:c>
      <x:c r="F25" s="103" t="str">
        <x:v>See SWRS.md for SHALL statement</x:v>
      </x:c>
    </x:row>
    <x:row r="26">
      <x:c r="A26" s="103" t="str">
        <x:v>SWRS-EVSE-004</x:v>
      </x:c>
      <x:c r="B26" s="103" t="str">
        <x:v>EVSE</x:v>
      </x:c>
      <x:c r="C26" s="103" t="n">
        <x:f>COUNTIF(Trace_Map!$A$4:$A$66,"SWRS-EVSE-004")</x:f>
        <x:v>1</x:v>
      </x:c>
      <x:c r="D26" s="103" t="n">
        <x:f>COUNTIFS(Trace_Map!$A$4:$A$66,"SWRS-EVSE-004",Trace_Map!$C$4:$C$66,"P0")</x:f>
        <x:v>1</x:v>
      </x:c>
      <x:c r="E26" s="103" t="str">
        <x:f>IF(C26&gt;0,"LINKED","MISSING")</x:f>
        <x:v>LINKED</x:v>
      </x:c>
      <x:c r="F26" s="103" t="str">
        <x:v>See SWRS.md for SHALL statement</x:v>
      </x:c>
    </x:row>
    <x:row r="27">
      <x:c r="A27" s="103" t="str">
        <x:v>SWRS-EVSE-005</x:v>
      </x:c>
      <x:c r="B27" s="103" t="str">
        <x:v>EVSE</x:v>
      </x:c>
      <x:c r="C27" s="103" t="n">
        <x:f>COUNTIF(Trace_Map!$A$4:$A$66,"SWRS-EVSE-005")</x:f>
        <x:v>1</x:v>
      </x:c>
      <x:c r="D27" s="103" t="n">
        <x:f>COUNTIFS(Trace_Map!$A$4:$A$66,"SWRS-EVSE-005",Trace_Map!$C$4:$C$66,"P0")</x:f>
        <x:v>1</x:v>
      </x:c>
      <x:c r="E27" s="103" t="str">
        <x:f>IF(C27&gt;0,"LINKED","MISSING")</x:f>
        <x:v>LINKED</x:v>
      </x:c>
      <x:c r="F27" s="103" t="str">
        <x:v>See SWRS.md for SHALL statement</x:v>
      </x:c>
    </x:row>
    <x:row r="28">
      <x:c r="A28" s="103" t="str">
        <x:v>SWRS-EVSE-006</x:v>
      </x:c>
      <x:c r="B28" s="103" t="str">
        <x:v>EVSE</x:v>
      </x:c>
      <x:c r="C28" s="103" t="n">
        <x:f>COUNTIF(Trace_Map!$A$4:$A$66,"SWRS-EVSE-006")</x:f>
        <x:v>2</x:v>
      </x:c>
      <x:c r="D28" s="103" t="n">
        <x:f>COUNTIFS(Trace_Map!$A$4:$A$66,"SWRS-EVSE-006",Trace_Map!$C$4:$C$66,"P0")</x:f>
        <x:v>2</x:v>
      </x:c>
      <x:c r="E28" s="103" t="str">
        <x:f>IF(C28&gt;0,"LINKED","MISSING")</x:f>
        <x:v>LINKED</x:v>
      </x:c>
      <x:c r="F28" s="103" t="str">
        <x:v>See SWRS.md for SHALL statement</x:v>
      </x:c>
    </x:row>
    <x:row r="29">
      <x:c r="A29" s="103" t="str">
        <x:v>SWRS-EVSE-007</x:v>
      </x:c>
      <x:c r="B29" s="103" t="str">
        <x:v>EVSE</x:v>
      </x:c>
      <x:c r="C29" s="103" t="n">
        <x:f>COUNTIF(Trace_Map!$A$4:$A$66,"SWRS-EVSE-007")</x:f>
        <x:v>1</x:v>
      </x:c>
      <x:c r="D29" s="103" t="n">
        <x:f>COUNTIFS(Trace_Map!$A$4:$A$66,"SWRS-EVSE-007",Trace_Map!$C$4:$C$66,"P0")</x:f>
        <x:v>0</x:v>
      </x:c>
      <x:c r="E29" s="103" t="str">
        <x:f>IF(C29&gt;0,"LINKED","MISSING")</x:f>
        <x:v>LINKED</x:v>
      </x:c>
      <x:c r="F29" s="103" t="str">
        <x:v>See SWRS.md for SHALL statement</x:v>
      </x:c>
    </x:row>
    <x:row r="30">
      <x:c r="A30" s="103" t="str">
        <x:v>SWRS-EVSE-008</x:v>
      </x:c>
      <x:c r="B30" s="103" t="str">
        <x:v>EVSE</x:v>
      </x:c>
      <x:c r="C30" s="103" t="n">
        <x:f>COUNTIF(Trace_Map!$A$4:$A$66,"SWRS-EVSE-008")</x:f>
        <x:v>2</x:v>
      </x:c>
      <x:c r="D30" s="103" t="n">
        <x:f>COUNTIFS(Trace_Map!$A$4:$A$66,"SWRS-EVSE-008",Trace_Map!$C$4:$C$66,"P0")</x:f>
        <x:v>1</x:v>
      </x:c>
      <x:c r="E30" s="103" t="str">
        <x:f>IF(C30&gt;0,"LINKED","MISSING")</x:f>
        <x:v>LINKED</x:v>
      </x:c>
      <x:c r="F30" s="103" t="str">
        <x:v>See SWRS.md for SHALL statement</x:v>
      </x:c>
    </x:row>
    <x:row r="31">
      <x:c r="A31" s="103" t="str">
        <x:v>SWRS-GA-001</x:v>
      </x:c>
      <x:c r="B31" s="103" t="str">
        <x:v>GA</x:v>
      </x:c>
      <x:c r="C31" s="103" t="n">
        <x:f>COUNTIF(Trace_Map!$A$4:$A$66,"SWRS-GA-001")</x:f>
        <x:v>5</x:v>
      </x:c>
      <x:c r="D31" s="103" t="n">
        <x:f>COUNTIFS(Trace_Map!$A$4:$A$66,"SWRS-GA-001",Trace_Map!$C$4:$C$66,"P0")</x:f>
        <x:v>0</x:v>
      </x:c>
      <x:c r="E31" s="103" t="str">
        <x:f>IF(C31&gt;0,"LINKED","MISSING")</x:f>
        <x:v>LINKED</x:v>
      </x:c>
      <x:c r="F31" s="103" t="str">
        <x:v>Contract waiting</x:v>
      </x:c>
    </x:row>
    <x:row r="32">
      <x:c r="A32" s="103" t="str">
        <x:v>SWRS-INFRA-001</x:v>
      </x:c>
      <x:c r="B32" s="103" t="str">
        <x:v>INFRA</x:v>
      </x:c>
      <x:c r="C32" s="103" t="n">
        <x:f>COUNTIF(Trace_Map!$A$4:$A$66,"SWRS-INFRA-001")</x:f>
        <x:v>1</x:v>
      </x:c>
      <x:c r="D32" s="103" t="n">
        <x:f>COUNTIFS(Trace_Map!$A$4:$A$66,"SWRS-INFRA-001",Trace_Map!$C$4:$C$66,"P0")</x:f>
        <x:v>1</x:v>
      </x:c>
      <x:c r="E32" s="103" t="str">
        <x:f>IF(C32&gt;0,"LINKED","MISSING")</x:f>
        <x:v>LINKED</x:v>
      </x:c>
      <x:c r="F32" s="103" t="str">
        <x:v>See SWRS.md for SHALL statement</x:v>
      </x:c>
    </x:row>
    <x:row r="33">
      <x:c r="A33" s="103" t="str">
        <x:v>SWRS-INFRA-002</x:v>
      </x:c>
      <x:c r="B33" s="103" t="str">
        <x:v>INFRA</x:v>
      </x:c>
      <x:c r="C33" s="103" t="n">
        <x:f>COUNTIF(Trace_Map!$A$4:$A$66,"SWRS-INFRA-002")</x:f>
        <x:v>1</x:v>
      </x:c>
      <x:c r="D33" s="103" t="n">
        <x:f>COUNTIFS(Trace_Map!$A$4:$A$66,"SWRS-INFRA-002",Trace_Map!$C$4:$C$66,"P0")</x:f>
        <x:v>1</x:v>
      </x:c>
      <x:c r="E33" s="103" t="str">
        <x:f>IF(C33&gt;0,"LINKED","MISSING")</x:f>
        <x:v>LINKED</x:v>
      </x:c>
      <x:c r="F33" s="103" t="str">
        <x:v>See SWRS.md for SHALL statement</x:v>
      </x:c>
    </x:row>
    <x:row r="34">
      <x:c r="A34" s="103" t="str">
        <x:v>SWRS-INFRA-003</x:v>
      </x:c>
      <x:c r="B34" s="103" t="str">
        <x:v>INFRA</x:v>
      </x:c>
      <x:c r="C34" s="103" t="n">
        <x:f>COUNTIF(Trace_Map!$A$4:$A$66,"SWRS-INFRA-003")</x:f>
        <x:v>2</x:v>
      </x:c>
      <x:c r="D34" s="103" t="n">
        <x:f>COUNTIFS(Trace_Map!$A$4:$A$66,"SWRS-INFRA-003",Trace_Map!$C$4:$C$66,"P0")</x:f>
        <x:v>1</x:v>
      </x:c>
      <x:c r="E34" s="103" t="str">
        <x:f>IF(C34&gt;0,"LINKED","MISSING")</x:f>
        <x:v>LINKED</x:v>
      </x:c>
      <x:c r="F34" s="103" t="str">
        <x:v>See SWRS.md for SHALL statement</x:v>
      </x:c>
    </x:row>
    <x:row r="35">
      <x:c r="A35" s="103" t="str">
        <x:v>SWRS-OTA-001</x:v>
      </x:c>
      <x:c r="B35" s="103" t="str">
        <x:v>OTA</x:v>
      </x:c>
      <x:c r="C35" s="103" t="n">
        <x:f>COUNTIF(Trace_Map!$A$4:$A$66,"SWRS-OTA-001")</x:f>
        <x:v>2</x:v>
      </x:c>
      <x:c r="D35" s="103" t="n">
        <x:f>COUNTIFS(Trace_Map!$A$4:$A$66,"SWRS-OTA-001",Trace_Map!$C$4:$C$66,"P0")</x:f>
        <x:v>2</x:v>
      </x:c>
      <x:c r="E35" s="103" t="str">
        <x:f>IF(C35&gt;0,"LINKED","MISSING")</x:f>
        <x:v>LINKED</x:v>
      </x:c>
      <x:c r="F35" s="103" t="str">
        <x:v>See SWRS.md for SHALL statement</x:v>
      </x:c>
    </x:row>
    <x:row r="36">
      <x:c r="A36" s="103" t="str">
        <x:v>SWRS-OTA-002</x:v>
      </x:c>
      <x:c r="B36" s="103" t="str">
        <x:v>OTA</x:v>
      </x:c>
      <x:c r="C36" s="103" t="n">
        <x:f>COUNTIF(Trace_Map!$A$4:$A$66,"SWRS-OTA-002")</x:f>
        <x:v>1</x:v>
      </x:c>
      <x:c r="D36" s="103" t="n">
        <x:f>COUNTIFS(Trace_Map!$A$4:$A$66,"SWRS-OTA-002",Trace_Map!$C$4:$C$66,"P0")</x:f>
        <x:v>0</x:v>
      </x:c>
      <x:c r="E36" s="103" t="str">
        <x:f>IF(C36&gt;0,"LINKED","MISSING")</x:f>
        <x:v>LINKED</x:v>
      </x:c>
      <x:c r="F36" s="103" t="str">
        <x:v>See SWRS.md for SHALL statement</x:v>
      </x:c>
    </x:row>
    <x:row r="37">
      <x:c r="A37" s="103" t="str">
        <x:v>SWRS-OTA-003</x:v>
      </x:c>
      <x:c r="B37" s="103" t="str">
        <x:v>OTA</x:v>
      </x:c>
      <x:c r="C37" s="103" t="n">
        <x:f>COUNTIF(Trace_Map!$A$4:$A$66,"SWRS-OTA-003")</x:f>
        <x:v>1</x:v>
      </x:c>
      <x:c r="D37" s="103" t="n">
        <x:f>COUNTIFS(Trace_Map!$A$4:$A$66,"SWRS-OTA-003",Trace_Map!$C$4:$C$66,"P0")</x:f>
        <x:v>1</x:v>
      </x:c>
      <x:c r="E37" s="103" t="str">
        <x:f>IF(C37&gt;0,"LINKED","MISSING")</x:f>
        <x:v>LINKED</x:v>
      </x:c>
      <x:c r="F37" s="103" t="str">
        <x:v>See SWRS.md for SHALL statement</x:v>
      </x:c>
    </x:row>
    <x:row r="38">
      <x:c r="A38" s="103" t="str">
        <x:v>SWRS-OTA-004</x:v>
      </x:c>
      <x:c r="B38" s="103" t="str">
        <x:v>OTA</x:v>
      </x:c>
      <x:c r="C38" s="103" t="n">
        <x:f>COUNTIF(Trace_Map!$A$4:$A$66,"SWRS-OTA-004")</x:f>
        <x:v>2</x:v>
      </x:c>
      <x:c r="D38" s="103" t="n">
        <x:f>COUNTIFS(Trace_Map!$A$4:$A$66,"SWRS-OTA-004",Trace_Map!$C$4:$C$66,"P0")</x:f>
        <x:v>2</x:v>
      </x:c>
      <x:c r="E38" s="103" t="str">
        <x:f>IF(C38&gt;0,"LINKED","MISSING")</x:f>
        <x:v>LINKED</x:v>
      </x:c>
      <x:c r="F38" s="103" t="str">
        <x:v>See SWRS.md for SHALL statement</x:v>
      </x:c>
    </x:row>
    <x:row r="39">
      <x:c r="A39" s="103" t="str">
        <x:v>SWRS-OTA-005</x:v>
      </x:c>
      <x:c r="B39" s="103" t="str">
        <x:v>OTA</x:v>
      </x:c>
      <x:c r="C39" s="103" t="n">
        <x:f>COUNTIF(Trace_Map!$A$4:$A$66,"SWRS-OTA-005")</x:f>
        <x:v>2</x:v>
      </x:c>
      <x:c r="D39" s="103" t="n">
        <x:f>COUNTIFS(Trace_Map!$A$4:$A$66,"SWRS-OTA-005",Trace_Map!$C$4:$C$66,"P0")</x:f>
        <x:v>2</x:v>
      </x:c>
      <x:c r="E39" s="103" t="str">
        <x:f>IF(C39&gt;0,"LINKED","MISSING")</x:f>
        <x:v>LINKED</x:v>
      </x:c>
      <x:c r="F39" s="103" t="str">
        <x:v>See SWRS.md for SHALL statement</x:v>
      </x:c>
    </x:row>
    <x:row r="40">
      <x:c r="A40" s="103" t="str">
        <x:v>SWRS-OTA-006</x:v>
      </x:c>
      <x:c r="B40" s="103" t="str">
        <x:v>OTA</x:v>
      </x:c>
      <x:c r="C40" s="103" t="n">
        <x:f>COUNTIF(Trace_Map!$A$4:$A$66,"SWRS-OTA-006")</x:f>
        <x:v>1</x:v>
      </x:c>
      <x:c r="D40" s="103" t="n">
        <x:f>COUNTIFS(Trace_Map!$A$4:$A$66,"SWRS-OTA-006",Trace_Map!$C$4:$C$66,"P0")</x:f>
        <x:v>0</x:v>
      </x:c>
      <x:c r="E40" s="103" t="str">
        <x:f>IF(C40&gt;0,"LINKED","MISSING")</x:f>
        <x:v>LINKED</x:v>
      </x:c>
      <x:c r="F40" s="103" t="str">
        <x:v>See SWRS.md for SHALL statement</x:v>
      </x:c>
    </x:row>
    <x:row r="41">
      <x:c r="A41" s="103" t="str">
        <x:v>SWRS-OTA-007</x:v>
      </x:c>
      <x:c r="B41" s="103" t="str">
        <x:v>OTA</x:v>
      </x:c>
      <x:c r="C41" s="103" t="n">
        <x:f>COUNTIF(Trace_Map!$A$4:$A$66,"SWRS-OTA-007")</x:f>
        <x:v>1</x:v>
      </x:c>
      <x:c r="D41" s="103" t="n">
        <x:f>COUNTIFS(Trace_Map!$A$4:$A$66,"SWRS-OTA-007",Trace_Map!$C$4:$C$66,"P0")</x:f>
        <x:v>0</x:v>
      </x:c>
      <x:c r="E41" s="103" t="str">
        <x:f>IF(C41&gt;0,"LINKED","MISSING")</x:f>
        <x:v>LINKED</x:v>
      </x:c>
      <x:c r="F41" s="103" t="str">
        <x:v>See SWRS.md for SHALL statement</x:v>
      </x:c>
    </x:row>
    <x:row r="42">
      <x:c r="A42" s="103" t="str">
        <x:v>SWRS-OTA-008</x:v>
      </x:c>
      <x:c r="B42" s="103" t="str">
        <x:v>OTA</x:v>
      </x:c>
      <x:c r="C42" s="103" t="n">
        <x:f>COUNTIF(Trace_Map!$A$4:$A$66,"SWRS-OTA-008")</x:f>
        <x:v>1</x:v>
      </x:c>
      <x:c r="D42" s="103" t="n">
        <x:f>COUNTIFS(Trace_Map!$A$4:$A$66,"SWRS-OTA-008",Trace_Map!$C$4:$C$66,"P0")</x:f>
        <x:v>0</x:v>
      </x:c>
      <x:c r="E42" s="103" t="str">
        <x:f>IF(C42&gt;0,"LINKED","MISSING")</x:f>
        <x:v>LINKED</x:v>
      </x:c>
      <x:c r="F42" s="103" t="str">
        <x:v>See SWRS.md for SHALL statement</x:v>
      </x:c>
    </x:row>
    <x:row r="43">
      <x:c r="A43" s="103" t="str">
        <x:v>SWRS-OTA-009</x:v>
      </x:c>
      <x:c r="B43" s="103" t="str">
        <x:v>OTA</x:v>
      </x:c>
      <x:c r="C43" s="103" t="n">
        <x:f>COUNTIF(Trace_Map!$A$4:$A$66,"SWRS-OTA-009")</x:f>
        <x:v>1</x:v>
      </x:c>
      <x:c r="D43" s="103" t="n">
        <x:f>COUNTIFS(Trace_Map!$A$4:$A$66,"SWRS-OTA-009",Trace_Map!$C$4:$C$66,"P0")</x:f>
        <x:v>0</x:v>
      </x:c>
      <x:c r="E43" s="103" t="str">
        <x:f>IF(C43&gt;0,"LINKED","MISSING")</x:f>
        <x:v>LINKED</x:v>
      </x:c>
      <x:c r="F43" s="103" t="str">
        <x:v>See SWRS.md for SHALL statement</x:v>
      </x:c>
    </x:row>
  </x:sheetData>
  <x:mergeCells>
    <x:mergeCell ref="A1:F1"/>
  </x:mergeCells>
  <x:conditionalFormatting sqref="E4:E43">
    <x:cfRule type="containsText" dxfId="5" priority="1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898510a0cffa4a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42" hidden="0" customWidth="1"/>
    <x:col min="5" max="5" width="42" hidden="0" customWidth="1"/>
    <x:col min="6" max="6" width="42" hidden="0" customWidth="1"/>
    <x:col min="7" max="7" width="15" hidden="0" customWidth="1"/>
  </x:cols>
  <x:sheetData>
    <x:row r="1" ht="30" customHeight="1">
      <x:c r="A1" s="3" t="str">
        <x:v>Open Deviations, Risks and Requirement Gaps</x:v>
      </x:c>
    </x:row>
    <x:row r="3">
      <x:c r="A3" s="50" t="str">
        <x:v>ID</x:v>
      </x:c>
      <x:c r="B3" s="101" t="str">
        <x:v>Severity</x:v>
      </x:c>
      <x:c r="C3" s="101" t="str">
        <x:v>Type</x:v>
      </x:c>
      <x:c r="D3" s="101" t="str">
        <x:v>Finding</x:v>
      </x:c>
      <x:c r="E3" s="101" t="str">
        <x:v>Impact</x:v>
      </x:c>
      <x:c r="F3" s="101" t="str">
        <x:v>Required Action</x:v>
      </x:c>
      <x:c r="G3" s="51" t="str">
        <x:v>State</x:v>
      </x:c>
    </x:row>
    <x:row r="4" ht="48" customHeight="1">
      <x:c r="A4" s="103" t="str">
        <x:v>DEV-BMS-LINK-001</x:v>
      </x:c>
      <x:c r="B4" s="103" t="str">
        <x:v>P0</x:v>
      </x:c>
      <x:c r="C4" s="103" t="str">
        <x:v>Requirement/Product</x:v>
      </x:c>
      <x:c r="D4" s="103" t="str">
        <x:v>1000 ms link timeout may receive extra 3-sample confirmation.</x:v>
      </x:c>
      <x:c r="E4" s="103" t="str">
        <x:v>Late isolation and requirement mismatch.</x:v>
      </x:c>
      <x:c r="F4" s="103" t="str">
        <x:v>Measure on HIL; fix implementation or approve requirement change.</x:v>
      </x:c>
      <x:c r="G4" s="103" t="str">
        <x:v>OPEN</x:v>
      </x:c>
    </x:row>
    <x:row r="5" ht="48" customHeight="1">
      <x:c r="A5" s="103" t="str">
        <x:v>DEV-EVSE-LAYOUT-001</x:v>
      </x:c>
      <x:c r="B5" s="103" t="str">
        <x:v>P0</x:v>
      </x:c>
      <x:c r="C5" s="103" t="str">
        <x:v>Configuration</x:v>
      </x:c>
      <x:c r="D5" s="103" t="str">
        <x:v>EVSE linker FLASH region ends at 0x08200000; staging starts at 0x08100000.</x:v>
      </x:c>
      <x:c r="E5" s="103" t="str">
        <x:v>OTA staging can overlap application.</x:v>
      </x:c>
      <x:c r="F5" s="103" t="str">
        <x:v>Limit app linker region to 896 KiB and gate BIN/vector.</x:v>
      </x:c>
      <x:c r="G5" s="103" t="str">
        <x:v>OPEN</x:v>
      </x:c>
    </x:row>
    <x:row r="6" ht="48" customHeight="1">
      <x:c r="A6" s="103" t="str">
        <x:v>DEV-OTA-GAP-001</x:v>
      </x:c>
      <x:c r="B6" s="103" t="str">
        <x:v>P0</x:v>
      </x:c>
      <x:c r="C6" s="103" t="str">
        <x:v>Requirement Gap</x:v>
      </x:c>
      <x:c r="D6" s="103" t="str">
        <x:v>No approved version, rollback or signed target-binding contract.</x:v>
      </x:c>
      <x:c r="E6" s="103" t="str">
        <x:v>Downgrade/wrong-target/power-loss safety cannot be claimed.</x:v>
      </x:c>
      <x:c r="F6" s="103" t="str">
        <x:v>Approve SWRS-OTA-007..009 and implement recovery/security.</x:v>
      </x:c>
      <x:c r="G6" s="103" t="str">
        <x:v>GAP</x:v>
      </x:c>
    </x:row>
    <x:row r="7" ht="48" customHeight="1">
      <x:c r="A7" s="103" t="str">
        <x:v>DEV-GA-CONTRACT-001</x:v>
      </x:c>
      <x:c r="B7" s="103" t="str">
        <x:v>P2</x:v>
      </x:c>
      <x:c r="C7" s="103" t="str">
        <x:v>Contract</x:v>
      </x:c>
      <x:c r="D7" s="103" t="str">
        <x:v>Gateway schema and source boundary are not approved.</x:v>
      </x:c>
      <x:c r="E7" s="103" t="str">
        <x:v>Gateway expected results would be invented.</x:v>
      </x:c>
      <x:c r="F7" s="103" t="str">
        <x:v>Approve ICD before executable functional testing.</x:v>
      </x:c>
      <x:c r="G7" s="103" t="str">
        <x:v>BLOCKED</x:v>
      </x:c>
    </x:row>
    <x:row r="8" ht="48" customHeight="1">
      <x:c r="A8" s="103" t="str">
        <x:v>DEV-SEC-001</x:v>
      </x:c>
      <x:c r="B8" s="103" t="str">
        <x:v>P0</x:v>
      </x:c>
      <x:c r="C8" s="103" t="str">
        <x:v>Security</x:v>
      </x:c>
      <x:c r="D8" s="103" t="str">
        <x:v>EVSE source configuration contains plaintext credential material.</x:v>
      </x:c>
      <x:c r="E8" s="103" t="str">
        <x:v>Credential disclosure and uncontrolled reuse.</x:v>
      </x:c>
      <x:c r="F8" s="103" t="str">
        <x:v>Rotate/remove secret and add secret scanning; never copy value into evidence.</x:v>
      </x:c>
      <x:c r="G8" s="103" t="str">
        <x:v>OPEN</x:v>
      </x:c>
    </x:row>
  </x:sheetData>
  <x:mergeCells>
    <x:mergeCell ref="A1:G1"/>
  </x:mergeCells>
  <x:conditionalFormatting sqref="G4:G8">
    <x:cfRule type="containsText" dxfId="6" priority="1" operator="containsText" text="OPEN"/>
    <x:cfRule type="containsText" dxfId="7" priority="2" operator="containsText" text="GAP"/>
  </x:conditionalFormatting>
  <x:pageMargins left="0.7" right="0.7" top="0.75" bottom="0.75" header="0.3" footer="0.3"/>
  <x:tableParts count="1">
    <x:tablePart xmlns:r="http://schemas.openxmlformats.org/officeDocument/2006/relationships" r:id="R1854c886d37141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28" hidden="0" customWidth="1"/>
    <x:col min="4" max="4" width="28" hidden="0" customWidth="1"/>
  </x:cols>
  <x:sheetData>
    <x:row r="1" ht="30" customHeight="1">
      <x:c r="A1" s="3" t="str">
        <x:v>Result Classification and Evidence Rules</x:v>
      </x:c>
    </x:row>
    <x:row r="3">
      <x:c r="A3" s="50" t="str">
        <x:v>Classification</x:v>
      </x:c>
      <x:c r="B3" s="101" t="str">
        <x:v>Meaning</x:v>
      </x:c>
      <x:c r="C3" s="101" t="str">
        <x:v>Owner</x:v>
      </x:c>
      <x:c r="D3" s="51" t="str">
        <x:v>PASS impact</x:v>
      </x:c>
    </x:row>
    <x:row r="4">
      <x:c r="A4" s="103" t="str">
        <x:v>NOT_EXECUTED</x:v>
      </x:c>
      <x:c r="B4" s="103" t="str">
        <x:v>Test has not run against the controlled baseline.</x:v>
      </x:c>
      <x:c r="C4" s="103" t="str">
        <x:v>QA</x:v>
      </x:c>
      <x:c r="D4" s="103" t="str">
        <x:v>No claim</x:v>
      </x:c>
    </x:row>
    <x:row r="5">
      <x:c r="A5" s="103" t="str">
        <x:v>PASS</x:v>
      </x:c>
      <x:c r="B5" s="103" t="str">
        <x:v>Observed result meets the independent oracle with complete evidence.</x:v>
      </x:c>
      <x:c r="C5" s="103" t="str">
        <x:v>QA</x:v>
      </x:c>
      <x:c r="D5" s="103" t="str">
        <x:v>Qualifying</x:v>
      </x:c>
    </x:row>
    <x:row r="6">
      <x:c r="A6" s="103" t="str">
        <x:v>FAIL_PRODUCT</x:v>
      </x:c>
      <x:c r="B6" s="103" t="str">
        <x:v>Controlled product differs from approved requirement.</x:v>
      </x:c>
      <x:c r="C6" s="103" t="str">
        <x:v>Development</x:v>
      </x:c>
      <x:c r="D6" s="103" t="str">
        <x:v>Blocks affected scope</x:v>
      </x:c>
    </x:row>
    <x:row r="7">
      <x:c r="A7" s="103" t="str">
        <x:v>GAP_REQUIREMENT</x:v>
      </x:c>
      <x:c r="B7" s="103" t="str">
        <x:v>Requirement/mechanism is absent or unapproved.</x:v>
      </x:c>
      <x:c r="C7" s="103" t="str">
        <x:v>Requirement owner</x:v>
      </x:c>
      <x:c r="D7" s="103" t="str">
        <x:v>Blocks claim</x:v>
      </x:c>
    </x:row>
    <x:row r="8">
      <x:c r="A8" s="103" t="str">
        <x:v>FAIL_TEST</x:v>
      </x:c>
      <x:c r="B8" s="103" t="str">
        <x:v>Automation/oracle/test setup is defective.</x:v>
      </x:c>
      <x:c r="C8" s="103" t="str">
        <x:v>QA automation</x:v>
      </x:c>
      <x:c r="D8" s="103" t="str">
        <x:v>No product verdict</x:v>
      </x:c>
    </x:row>
    <x:row r="9">
      <x:c r="A9" s="103" t="str">
        <x:v>BLOCKED_INFRA</x:v>
      </x:c>
      <x:c r="B9" s="103" t="str">
        <x:v>Fixture, adapter, access or precondition is unavailable.</x:v>
      </x:c>
      <x:c r="C9" s="103" t="str">
        <x:v>HIL/DevOps</x:v>
      </x:c>
      <x:c r="D9" s="103" t="str">
        <x:v>No product verdict</x:v>
      </x:c>
    </x:row>
    <x:row r="10">
      <x:c r="A10" s="103" t="str">
        <x:v>MISMATCH_CONFIGURATION</x:v>
      </x:c>
      <x:c r="B10" s="103" t="str">
        <x:v>SHA, board, build option or memory layout is not the baseline.</x:v>
      </x:c>
      <x:c r="C10" s="103" t="str">
        <x:v>CM/QA</x:v>
      </x:c>
      <x:c r="D10" s="103" t="str">
        <x:v>No product verdict</x:v>
      </x:c>
    </x:row>
    <x:row r="11">
      <x:c r="A11" s="103" t="str">
        <x:v>NOT_APPLICABLE</x:v>
      </x:c>
      <x:c r="B11" s="103" t="str">
        <x:v>Approved scope excludes the test for this baseline.</x:v>
      </x:c>
      <x:c r="C11" s="103" t="str">
        <x:v>Requirement owner</x:v>
      </x:c>
      <x:c r="D11" s="103" t="str">
        <x:v>Document rationale</x:v>
      </x:c>
    </x:row>
    <x:row r="12">
      <x:c r="A12" s="103"/>
      <x:c r="B12" s="103"/>
      <x:c r="C12" s="103"/>
      <x:c r="D12" s="103"/>
    </x:row>
    <x:row r="13">
      <x:c r="A13" s="104" t="str">
        <x:v>Mandatory evidence</x:v>
      </x:c>
      <x:c r="B13" s="105" t="str">
        <x:v>Why</x:v>
      </x:c>
      <x:c r="C13" s="105" t="str">
        <x:v>Example</x:v>
      </x:c>
      <x:c r="D13" s="106" t="str">
        <x:v>Rule</x:v>
      </x:c>
    </x:row>
    <x:row r="14">
      <x:c r="A14" s="103" t="str">
        <x:v>Product full SHA</x:v>
      </x:c>
      <x:c r="B14" s="103" t="str">
        <x:v>Identifies source exactly</x:v>
      </x:c>
      <x:c r="C14" s="103" t="str">
        <x:v>40 hex</x:v>
      </x:c>
      <x:c r="D14" s="103" t="str">
        <x:v>Required</x:v>
      </x:c>
    </x:row>
    <x:row r="15">
      <x:c r="A15" s="103" t="str">
        <x:v>ELF/BIN SHA-256</x:v>
      </x:c>
      <x:c r="B15" s="103" t="str">
        <x:v>Binds build output</x:v>
      </x:c>
      <x:c r="C15" s="103" t="str">
        <x:v>64 hex</x:v>
      </x:c>
      <x:c r="D15" s="103" t="str">
        <x:v>Required</x:v>
      </x:c>
    </x:row>
    <x:row r="16">
      <x:c r="A16" s="103" t="str">
        <x:v>OpenOCD verify_image + IDCODE</x:v>
      </x:c>
      <x:c r="B16" s="103" t="str">
        <x:v>Binds artifact to target</x:v>
      </x:c>
      <x:c r="C16" s="103" t="str">
        <x:v>raw verify output</x:v>
      </x:c>
      <x:c r="D16" s="103" t="str">
        <x:v>Required for HIL</x:v>
      </x:c>
    </x:row>
    <x:row r="17">
      <x:c r="A17" s="103" t="str">
        <x:v>Independent oracle</x:v>
      </x:c>
      <x:c r="B17" s="103" t="str">
        <x:v>Avoids product self-confirmation</x:v>
      </x:c>
      <x:c r="C17" s="103" t="str">
        <x:v>GPIO/fixture/QA calculation</x:v>
      </x:c>
      <x:c r="D17" s="103" t="str">
        <x:v>Required</x:v>
      </x:c>
    </x:row>
    <x:row r="18">
      <x:c r="A18" s="103" t="str">
        <x:v>Raw timestamps/logs</x:v>
      </x:c>
      <x:c r="B18" s="103" t="str">
        <x:v>Supports timing and sequence</x:v>
      </x:c>
      <x:c r="C18" s="103" t="str">
        <x:v>JSONL/CAN trace</x:v>
      </x:c>
      <x:c r="D18" s="103" t="str">
        <x:v>Required when relevant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4" hidden="0" customWidth="1"/>
    <x:col min="4" max="4" width="14" hidden="0" customWidth="1"/>
  </x:cols>
  <x:sheetData>
    <x:row r="1" ht="30" customHeight="1">
      <x:c r="A1" s="3" t="str">
        <x:v>Normalized Requirement-to-Test Links</x:v>
      </x:c>
    </x:row>
    <x:row r="3">
      <x:c r="A3" s="50" t="str">
        <x:v>Requirement ID</x:v>
      </x:c>
      <x:c r="B3" s="101" t="str">
        <x:v>Test ID</x:v>
      </x:c>
      <x:c r="C3" s="101" t="str">
        <x:v>Priority</x:v>
      </x:c>
      <x:c r="D3" s="51" t="str">
        <x:v>Area</x:v>
      </x:c>
    </x:row>
    <x:row r="4">
      <x:c r="A4" t="str">
        <x:v>SWRS-BMS-001</x:v>
      </x:c>
      <x:c r="B4" t="str">
        <x:v>TC-BMS-OV-001</x:v>
      </x:c>
      <x:c r="C4" t="str">
        <x:v>P0</x:v>
      </x:c>
      <x:c r="D4" t="str">
        <x:v>BMS</x:v>
      </x:c>
    </x:row>
    <x:row r="5">
      <x:c r="A5" t="str">
        <x:v>SWRS-BMS-007</x:v>
      </x:c>
      <x:c r="B5" t="str">
        <x:v>TC-BMS-OV-002</x:v>
      </x:c>
      <x:c r="C5" t="str">
        <x:v>P0</x:v>
      </x:c>
      <x:c r="D5" t="str">
        <x:v>BMS</x:v>
      </x:c>
    </x:row>
    <x:row r="6">
      <x:c r="A6" t="str">
        <x:v>SWRS-BMS-001</x:v>
      </x:c>
      <x:c r="B6" t="str">
        <x:v>TC-BMS-OV-003</x:v>
      </x:c>
      <x:c r="C6" t="str">
        <x:v>P0</x:v>
      </x:c>
      <x:c r="D6" t="str">
        <x:v>BMS</x:v>
      </x:c>
    </x:row>
    <x:row r="7">
      <x:c r="A7" t="str">
        <x:v>SWRS-BMS-008</x:v>
      </x:c>
      <x:c r="B7" t="str">
        <x:v>TC-BMS-OV-003</x:v>
      </x:c>
      <x:c r="C7" t="str">
        <x:v>P0</x:v>
      </x:c>
      <x:c r="D7" t="str">
        <x:v>BMS</x:v>
      </x:c>
    </x:row>
    <x:row r="8">
      <x:c r="A8" t="str">
        <x:v>SWRS-BMS-008</x:v>
      </x:c>
      <x:c r="B8" t="str">
        <x:v>TC-BMS-OV-004</x:v>
      </x:c>
      <x:c r="C8" t="str">
        <x:v>P0</x:v>
      </x:c>
      <x:c r="D8" t="str">
        <x:v>BMS</x:v>
      </x:c>
    </x:row>
    <x:row r="9">
      <x:c r="A9" t="str">
        <x:v>SWRS-BMS-002</x:v>
      </x:c>
      <x:c r="B9" t="str">
        <x:v>TC-BMS-UV-001</x:v>
      </x:c>
      <x:c r="C9" t="str">
        <x:v>P0</x:v>
      </x:c>
      <x:c r="D9" t="str">
        <x:v>BMS</x:v>
      </x:c>
    </x:row>
    <x:row r="10">
      <x:c r="A10" t="str">
        <x:v>SWRS-BMS-007</x:v>
      </x:c>
      <x:c r="B10" t="str">
        <x:v>TC-BMS-UV-001</x:v>
      </x:c>
      <x:c r="C10" t="str">
        <x:v>P0</x:v>
      </x:c>
      <x:c r="D10" t="str">
        <x:v>BMS</x:v>
      </x:c>
    </x:row>
    <x:row r="11">
      <x:c r="A11" t="str">
        <x:v>SWRS-BMS-003</x:v>
      </x:c>
      <x:c r="B11" t="str">
        <x:v>TC-BMS-PACKOV-001</x:v>
      </x:c>
      <x:c r="C11" t="str">
        <x:v>P0</x:v>
      </x:c>
      <x:c r="D11" t="str">
        <x:v>BMS</x:v>
      </x:c>
    </x:row>
    <x:row r="12">
      <x:c r="A12" t="str">
        <x:v>SWRS-BMS-007</x:v>
      </x:c>
      <x:c r="B12" t="str">
        <x:v>TC-BMS-PACKOV-001</x:v>
      </x:c>
      <x:c r="C12" t="str">
        <x:v>P0</x:v>
      </x:c>
      <x:c r="D12" t="str">
        <x:v>BMS</x:v>
      </x:c>
    </x:row>
    <x:row r="13">
      <x:c r="A13" t="str">
        <x:v>SWRS-BMS-004</x:v>
      </x:c>
      <x:c r="B13" t="str">
        <x:v>TC-BMS-OC-001</x:v>
      </x:c>
      <x:c r="C13" t="str">
        <x:v>P0</x:v>
      </x:c>
      <x:c r="D13" t="str">
        <x:v>BMS</x:v>
      </x:c>
    </x:row>
    <x:row r="14">
      <x:c r="A14" t="str">
        <x:v>SWRS-BMS-005</x:v>
      </x:c>
      <x:c r="B14" t="str">
        <x:v>TC-BMS-OT-001</x:v>
      </x:c>
      <x:c r="C14" t="str">
        <x:v>P0</x:v>
      </x:c>
      <x:c r="D14" t="str">
        <x:v>BMS</x:v>
      </x:c>
    </x:row>
    <x:row r="15">
      <x:c r="A15" t="str">
        <x:v>SWRS-BMS-006</x:v>
      </x:c>
      <x:c r="B15" t="str">
        <x:v>TC-BMS-SENSOR-001</x:v>
      </x:c>
      <x:c r="C15" t="str">
        <x:v>P0</x:v>
      </x:c>
      <x:c r="D15" t="str">
        <x:v>BMS</x:v>
      </x:c>
    </x:row>
    <x:row r="16">
      <x:c r="A16" t="str">
        <x:v>SWRS-BMS-009</x:v>
      </x:c>
      <x:c r="B16" t="str">
        <x:v>TC-BMS-PERMIT-001</x:v>
      </x:c>
      <x:c r="C16" t="str">
        <x:v>P0</x:v>
      </x:c>
      <x:c r="D16" t="str">
        <x:v>BMS</x:v>
      </x:c>
    </x:row>
    <x:row r="17">
      <x:c r="A17" t="str">
        <x:v>SWRS-BMS-010</x:v>
      </x:c>
      <x:c r="B17" t="str">
        <x:v>TC-BMS-FSM-001</x:v>
      </x:c>
      <x:c r="C17" t="str">
        <x:v>P0</x:v>
      </x:c>
      <x:c r="D17" t="str">
        <x:v>BMS</x:v>
      </x:c>
    </x:row>
    <x:row r="18">
      <x:c r="A18" t="str">
        <x:v>SWRS-BMS-011</x:v>
      </x:c>
      <x:c r="B18" t="str">
        <x:v>TC-BMS-LINK-001</x:v>
      </x:c>
      <x:c r="C18" t="str">
        <x:v>P0</x:v>
      </x:c>
      <x:c r="D18" t="str">
        <x:v>BMS</x:v>
      </x:c>
    </x:row>
    <x:row r="19">
      <x:c r="A19" t="str">
        <x:v>SWRS-BMS-012</x:v>
      </x:c>
      <x:c r="B19" t="str">
        <x:v>TC-BMS-RELAY-001</x:v>
      </x:c>
      <x:c r="C19" t="str">
        <x:v>P1</x:v>
      </x:c>
      <x:c r="D19" t="str">
        <x:v>BMS</x:v>
      </x:c>
    </x:row>
    <x:row r="20">
      <x:c r="A20" t="str">
        <x:v>SWRS-BMS-009</x:v>
      </x:c>
      <x:c r="B20" t="str">
        <x:v>TC-BMS-MULTI-001</x:v>
      </x:c>
      <x:c r="C20" t="str">
        <x:v>P1</x:v>
      </x:c>
      <x:c r="D20" t="str">
        <x:v>BMS</x:v>
      </x:c>
    </x:row>
    <x:row r="21">
      <x:c r="A21" t="str">
        <x:v>SWRS-EVSE-001</x:v>
      </x:c>
      <x:c r="B21" t="str">
        <x:v>TC-EVSE-SAFE-001</x:v>
      </x:c>
      <x:c r="C21" t="str">
        <x:v>P0</x:v>
      </x:c>
      <x:c r="D21" t="str">
        <x:v>EVSE</x:v>
      </x:c>
    </x:row>
    <x:row r="22">
      <x:c r="A22" t="str">
        <x:v>SWRS-EVSE-002</x:v>
      </x:c>
      <x:c r="B22" t="str">
        <x:v>TC-EVSE-IN-001</x:v>
      </x:c>
      <x:c r="C22" t="str">
        <x:v>P1</x:v>
      </x:c>
      <x:c r="D22" t="str">
        <x:v>EVSE</x:v>
      </x:c>
    </x:row>
    <x:row r="23">
      <x:c r="A23" t="str">
        <x:v>SWRS-EVSE-004</x:v>
      </x:c>
      <x:c r="B23" t="str">
        <x:v>TC-EVSE-SAFE-002</x:v>
      </x:c>
      <x:c r="C23" t="str">
        <x:v>P0</x:v>
      </x:c>
      <x:c r="D23" t="str">
        <x:v>EVSE</x:v>
      </x:c>
    </x:row>
    <x:row r="24">
      <x:c r="A24" t="str">
        <x:v>SWRS-EVSE-003</x:v>
      </x:c>
      <x:c r="B24" t="str">
        <x:v>TC-EVSE-SAFE-003</x:v>
      </x:c>
      <x:c r="C24" t="str">
        <x:v>P0</x:v>
      </x:c>
      <x:c r="D24" t="str">
        <x:v>EVSE</x:v>
      </x:c>
    </x:row>
    <x:row r="25">
      <x:c r="A25" t="str">
        <x:v>SWRS-EVSE-005</x:v>
      </x:c>
      <x:c r="B25" t="str">
        <x:v>TC-EVSE-SAFE-004</x:v>
      </x:c>
      <x:c r="C25" t="str">
        <x:v>P0</x:v>
      </x:c>
      <x:c r="D25" t="str">
        <x:v>EVSE</x:v>
      </x:c>
    </x:row>
    <x:row r="26">
      <x:c r="A26" t="str">
        <x:v>SWRS-EVSE-006</x:v>
      </x:c>
      <x:c r="B26" t="str">
        <x:v>TC-EVSE-SAFE-005</x:v>
      </x:c>
      <x:c r="C26" t="str">
        <x:v>P0</x:v>
      </x:c>
      <x:c r="D26" t="str">
        <x:v>EVSE</x:v>
      </x:c>
    </x:row>
    <x:row r="27">
      <x:c r="A27" t="str">
        <x:v>SWRS-EVSE-001</x:v>
      </x:c>
      <x:c r="B27" t="str">
        <x:v>TC-EVSE-SAFE-006</x:v>
      </x:c>
      <x:c r="C27" t="str">
        <x:v>P0</x:v>
      </x:c>
      <x:c r="D27" t="str">
        <x:v>EVSE</x:v>
      </x:c>
    </x:row>
    <x:row r="28">
      <x:c r="A28" t="str">
        <x:v>SWRS-EVSE-007</x:v>
      </x:c>
      <x:c r="B28" t="str">
        <x:v>TC-EVSE-FAULT-001</x:v>
      </x:c>
      <x:c r="C28" t="str">
        <x:v>P1</x:v>
      </x:c>
      <x:c r="D28" t="str">
        <x:v>EVSE</x:v>
      </x:c>
    </x:row>
    <x:row r="29">
      <x:c r="A29" t="str">
        <x:v>SWRS-EVSE-008</x:v>
      </x:c>
      <x:c r="B29" t="str">
        <x:v>TC-EVSE-CAN-REQ-001</x:v>
      </x:c>
      <x:c r="C29" t="str">
        <x:v>P1</x:v>
      </x:c>
      <x:c r="D29" t="str">
        <x:v>EVSE</x:v>
      </x:c>
    </x:row>
    <x:row r="30">
      <x:c r="A30" t="str">
        <x:v>SWRS-CAN-001</x:v>
      </x:c>
      <x:c r="B30" t="str">
        <x:v>TC-CAN-PROTO-001</x:v>
      </x:c>
      <x:c r="C30" t="str">
        <x:v>P0</x:v>
      </x:c>
      <x:c r="D30" t="str">
        <x:v>CAN</x:v>
      </x:c>
    </x:row>
    <x:row r="31">
      <x:c r="A31" t="str">
        <x:v>SWRS-CAN-002</x:v>
      </x:c>
      <x:c r="B31" t="str">
        <x:v>TC-CAN-PROTO-001</x:v>
      </x:c>
      <x:c r="C31" t="str">
        <x:v>P0</x:v>
      </x:c>
      <x:c r="D31" t="str">
        <x:v>CAN</x:v>
      </x:c>
    </x:row>
    <x:row r="32">
      <x:c r="A32" t="str">
        <x:v>SWRS-CAN-003</x:v>
      </x:c>
      <x:c r="B32" t="str">
        <x:v>TC-CAN-ENDIAN-001</x:v>
      </x:c>
      <x:c r="C32" t="str">
        <x:v>P0</x:v>
      </x:c>
      <x:c r="D32" t="str">
        <x:v>CAN</x:v>
      </x:c>
    </x:row>
    <x:row r="33">
      <x:c r="A33" t="str">
        <x:v>SWRS-CAN-004</x:v>
      </x:c>
      <x:c r="B33" t="str">
        <x:v>TC-CAN-NEG-001</x:v>
      </x:c>
      <x:c r="C33" t="str">
        <x:v>P0</x:v>
      </x:c>
      <x:c r="D33" t="str">
        <x:v>CAN</x:v>
      </x:c>
    </x:row>
    <x:row r="34">
      <x:c r="A34" t="str">
        <x:v>SWRS-CAN-004</x:v>
      </x:c>
      <x:c r="B34" t="str">
        <x:v>TC-CAN-UNKID-001</x:v>
      </x:c>
      <x:c r="C34" t="str">
        <x:v>P1</x:v>
      </x:c>
      <x:c r="D34" t="str">
        <x:v>CAN</x:v>
      </x:c>
    </x:row>
    <x:row r="35">
      <x:c r="A35" t="str">
        <x:v>SWRS-CAN-001</x:v>
      </x:c>
      <x:c r="B35" t="str">
        <x:v>TC-CAN-BUS-001</x:v>
      </x:c>
      <x:c r="C35" t="str">
        <x:v>P0</x:v>
      </x:c>
      <x:c r="D35" t="str">
        <x:v>CAN</x:v>
      </x:c>
    </x:row>
    <x:row r="36">
      <x:c r="A36" t="str">
        <x:v>SWRS-CAN-005</x:v>
      </x:c>
      <x:c r="B36" t="str">
        <x:v>TC-CAN-HB-001</x:v>
      </x:c>
      <x:c r="C36" t="str">
        <x:v>P0</x:v>
      </x:c>
      <x:c r="D36" t="str">
        <x:v>CAN</x:v>
      </x:c>
    </x:row>
    <x:row r="37">
      <x:c r="A37" t="str">
        <x:v>SWRS-CAN-002</x:v>
      </x:c>
      <x:c r="B37" t="str">
        <x:v>TC-CAN-E2E-001</x:v>
      </x:c>
      <x:c r="C37" t="str">
        <x:v>P0</x:v>
      </x:c>
      <x:c r="D37" t="str">
        <x:v>CAN</x:v>
      </x:c>
    </x:row>
    <x:row r="38">
      <x:c r="A38" t="str">
        <x:v>SWRS-CAN-003</x:v>
      </x:c>
      <x:c r="B38" t="str">
        <x:v>TC-CAN-E2E-001</x:v>
      </x:c>
      <x:c r="C38" t="str">
        <x:v>P0</x:v>
      </x:c>
      <x:c r="D38" t="str">
        <x:v>CAN</x:v>
      </x:c>
    </x:row>
    <x:row r="39">
      <x:c r="A39" t="str">
        <x:v>SWRS-BMS-012</x:v>
      </x:c>
      <x:c r="B39" t="str">
        <x:v>TC-CAN-E2E-002</x:v>
      </x:c>
      <x:c r="C39" t="str">
        <x:v>P0</x:v>
      </x:c>
      <x:c r="D39" t="str">
        <x:v>CAN</x:v>
      </x:c>
    </x:row>
    <x:row r="40">
      <x:c r="A40" t="str">
        <x:v>SWRS-EVSE-008</x:v>
      </x:c>
      <x:c r="B40" t="str">
        <x:v>TC-CAN-E2E-002</x:v>
      </x:c>
      <x:c r="C40" t="str">
        <x:v>P0</x:v>
      </x:c>
      <x:c r="D40" t="str">
        <x:v>CAN</x:v>
      </x:c>
    </x:row>
    <x:row r="41">
      <x:c r="A41" t="str">
        <x:v>SWRS-CAN-006</x:v>
      </x:c>
      <x:c r="B41" t="str">
        <x:v>TC-CAN-E2E-002</x:v>
      </x:c>
      <x:c r="C41" t="str">
        <x:v>P0</x:v>
      </x:c>
      <x:c r="D41" t="str">
        <x:v>CAN</x:v>
      </x:c>
    </x:row>
    <x:row r="42">
      <x:c r="A42" t="str">
        <x:v>SWRS-BMS-009</x:v>
      </x:c>
      <x:c r="B42" t="str">
        <x:v>TC-CAN-E2E-003</x:v>
      </x:c>
      <x:c r="C42" t="str">
        <x:v>P0</x:v>
      </x:c>
      <x:c r="D42" t="str">
        <x:v>CAN</x:v>
      </x:c>
    </x:row>
    <x:row r="43">
      <x:c r="A43" t="str">
        <x:v>SWRS-EVSE-006</x:v>
      </x:c>
      <x:c r="B43" t="str">
        <x:v>TC-CAN-E2E-003</x:v>
      </x:c>
      <x:c r="C43" t="str">
        <x:v>P0</x:v>
      </x:c>
      <x:c r="D43" t="str">
        <x:v>CAN</x:v>
      </x:c>
    </x:row>
    <x:row r="44">
      <x:c r="A44" t="str">
        <x:v>SWRS-CAN-006</x:v>
      </x:c>
      <x:c r="B44" t="str">
        <x:v>TC-CAN-E2E-003</x:v>
      </x:c>
      <x:c r="C44" t="str">
        <x:v>P0</x:v>
      </x:c>
      <x:c r="D44" t="str">
        <x:v>CAN</x:v>
      </x:c>
    </x:row>
    <x:row r="45">
      <x:c r="A45" t="str">
        <x:v>SWRS-CAN-007</x:v>
      </x:c>
      <x:c r="B45" t="str">
        <x:v>TC-CAN-BUSOFF-001</x:v>
      </x:c>
      <x:c r="C45" t="str">
        <x:v>P2</x:v>
      </x:c>
      <x:c r="D45" t="str">
        <x:v>CAN</x:v>
      </x:c>
    </x:row>
    <x:row r="46">
      <x:c r="A46" t="str">
        <x:v>SWRS-OTA-001</x:v>
      </x:c>
      <x:c r="B46" t="str">
        <x:v>TC-OTA-BOOT-001</x:v>
      </x:c>
      <x:c r="C46" t="str">
        <x:v>P0</x:v>
      </x:c>
      <x:c r="D46" t="str">
        <x:v>OTA</x:v>
      </x:c>
    </x:row>
    <x:row r="47">
      <x:c r="A47" t="str">
        <x:v>SWRS-OTA-001</x:v>
      </x:c>
      <x:c r="B47" t="str">
        <x:v>TC-OTA-BOOT-002</x:v>
      </x:c>
      <x:c r="C47" t="str">
        <x:v>P0</x:v>
      </x:c>
      <x:c r="D47" t="str">
        <x:v>OTA</x:v>
      </x:c>
    </x:row>
    <x:row r="48">
      <x:c r="A48" t="str">
        <x:v>SWRS-OTA-002</x:v>
      </x:c>
      <x:c r="B48" t="str">
        <x:v>TC-OTA-PROTO-001</x:v>
      </x:c>
      <x:c r="C48" t="str">
        <x:v>P1</x:v>
      </x:c>
      <x:c r="D48" t="str">
        <x:v>OTA</x:v>
      </x:c>
    </x:row>
    <x:row r="49">
      <x:c r="A49" t="str">
        <x:v>SWRS-OTA-003</x:v>
      </x:c>
      <x:c r="B49" t="str">
        <x:v>TC-OTA-PROTO-002</x:v>
      </x:c>
      <x:c r="C49" t="str">
        <x:v>P0</x:v>
      </x:c>
      <x:c r="D49" t="str">
        <x:v>OTA</x:v>
      </x:c>
    </x:row>
    <x:row r="50">
      <x:c r="A50" t="str">
        <x:v>SWRS-OTA-004</x:v>
      </x:c>
      <x:c r="B50" t="str">
        <x:v>TC-OTA-SIZE-001</x:v>
      </x:c>
      <x:c r="C50" t="str">
        <x:v>P0</x:v>
      </x:c>
      <x:c r="D50" t="str">
        <x:v>OTA</x:v>
      </x:c>
    </x:row>
    <x:row r="51">
      <x:c r="A51" t="str">
        <x:v>SWRS-OTA-004</x:v>
      </x:c>
      <x:c r="B51" t="str">
        <x:v>TC-OTA-OFFSET-001</x:v>
      </x:c>
      <x:c r="C51" t="str">
        <x:v>P0</x:v>
      </x:c>
      <x:c r="D51" t="str">
        <x:v>OTA</x:v>
      </x:c>
    </x:row>
    <x:row r="52">
      <x:c r="A52" t="str">
        <x:v>SWRS-OTA-005</x:v>
      </x:c>
      <x:c r="B52" t="str">
        <x:v>TC-OTA-CRC-001</x:v>
      </x:c>
      <x:c r="C52" t="str">
        <x:v>P0</x:v>
      </x:c>
      <x:c r="D52" t="str">
        <x:v>OTA</x:v>
      </x:c>
    </x:row>
    <x:row r="53">
      <x:c r="A53" t="str">
        <x:v>SWRS-OTA-005</x:v>
      </x:c>
      <x:c r="B53" t="str">
        <x:v>TC-OTA-UPDATE-001</x:v>
      </x:c>
      <x:c r="C53" t="str">
        <x:v>P0</x:v>
      </x:c>
      <x:c r="D53" t="str">
        <x:v>OTA</x:v>
      </x:c>
    </x:row>
    <x:row r="54">
      <x:c r="A54" t="str">
        <x:v>SWRS-OTA-006</x:v>
      </x:c>
      <x:c r="B54" t="str">
        <x:v>TC-OTA-GATE-001</x:v>
      </x:c>
      <x:c r="C54" t="str">
        <x:v>P1</x:v>
      </x:c>
      <x:c r="D54" t="str">
        <x:v>OTA</x:v>
      </x:c>
    </x:row>
    <x:row r="55">
      <x:c r="A55" t="str">
        <x:v>SWRS-OTA-007</x:v>
      </x:c>
      <x:c r="B55" t="str">
        <x:v>TC-OTA-VERSION-001</x:v>
      </x:c>
      <x:c r="C55" t="str">
        <x:v>GAP</x:v>
      </x:c>
      <x:c r="D55" t="str">
        <x:v>OTA</x:v>
      </x:c>
    </x:row>
    <x:row r="56">
      <x:c r="A56" t="str">
        <x:v>SWRS-OTA-008</x:v>
      </x:c>
      <x:c r="B56" t="str">
        <x:v>TC-OTA-ROLLBACK-001</x:v>
      </x:c>
      <x:c r="C56" t="str">
        <x:v>GAP</x:v>
      </x:c>
      <x:c r="D56" t="str">
        <x:v>OTA</x:v>
      </x:c>
    </x:row>
    <x:row r="57">
      <x:c r="A57" t="str">
        <x:v>SWRS-OTA-009</x:v>
      </x:c>
      <x:c r="B57" t="str">
        <x:v>TC-OTA-XTARGET-001</x:v>
      </x:c>
      <x:c r="C57" t="str">
        <x:v>GAP</x:v>
      </x:c>
      <x:c r="D57" t="str">
        <x:v>OTA</x:v>
      </x:c>
    </x:row>
    <x:row r="58">
      <x:c r="A58" t="str">
        <x:v>SWRS-INFRA-001</x:v>
      </x:c>
      <x:c r="B58" t="str">
        <x:v>TC-INFRA-CM-001</x:v>
      </x:c>
      <x:c r="C58" t="str">
        <x:v>P0</x:v>
      </x:c>
      <x:c r="D58" t="str">
        <x:v>Infra</x:v>
      </x:c>
    </x:row>
    <x:row r="59">
      <x:c r="A59" t="str">
        <x:v>SWRS-INFRA-002</x:v>
      </x:c>
      <x:c r="B59" t="str">
        <x:v>TC-INFRA-PIPE-001</x:v>
      </x:c>
      <x:c r="C59" t="str">
        <x:v>P0</x:v>
      </x:c>
      <x:c r="D59" t="str">
        <x:v>Infra</x:v>
      </x:c>
    </x:row>
    <x:row r="60">
      <x:c r="A60" t="str">
        <x:v>SWRS-INFRA-003</x:v>
      </x:c>
      <x:c r="B60" t="str">
        <x:v>TC-INFRA-RES-001</x:v>
      </x:c>
      <x:c r="C60" t="str">
        <x:v>P0</x:v>
      </x:c>
      <x:c r="D60" t="str">
        <x:v>Infra</x:v>
      </x:c>
    </x:row>
    <x:row r="61">
      <x:c r="A61" t="str">
        <x:v>SWRS-INFRA-003</x:v>
      </x:c>
      <x:c r="B61" t="str">
        <x:v>TC-INFRA-JUNIT-001</x:v>
      </x:c>
      <x:c r="C61" t="str">
        <x:v>P1</x:v>
      </x:c>
      <x:c r="D61" t="str">
        <x:v>Infra</x:v>
      </x:c>
    </x:row>
    <x:row r="62">
      <x:c r="A62" t="str">
        <x:v>SWRS-GA-001</x:v>
      </x:c>
      <x:c r="B62" t="str">
        <x:v>TC-GA-DECODE-001</x:v>
      </x:c>
      <x:c r="C62" t="str">
        <x:v>P2</x:v>
      </x:c>
      <x:c r="D62" t="str">
        <x:v>Gateway</x:v>
      </x:c>
    </x:row>
    <x:row r="63">
      <x:c r="A63" t="str">
        <x:v>SWRS-GA-001</x:v>
      </x:c>
      <x:c r="B63" t="str">
        <x:v>TC-GA-STATE-001</x:v>
      </x:c>
      <x:c r="C63" t="str">
        <x:v>P2</x:v>
      </x:c>
      <x:c r="D63" t="str">
        <x:v>Gateway</x:v>
      </x:c>
    </x:row>
    <x:row r="64">
      <x:c r="A64" t="str">
        <x:v>SWRS-GA-001</x:v>
      </x:c>
      <x:c r="B64" t="str">
        <x:v>TC-GA-STALE-001</x:v>
      </x:c>
      <x:c r="C64" t="str">
        <x:v>P2</x:v>
      </x:c>
      <x:c r="D64" t="str">
        <x:v>Gateway</x:v>
      </x:c>
    </x:row>
    <x:row r="65">
      <x:c r="A65" t="str">
        <x:v>SWRS-GA-001</x:v>
      </x:c>
      <x:c r="B65" t="str">
        <x:v>TC-GA-INVALID-001</x:v>
      </x:c>
      <x:c r="C65" t="str">
        <x:v>P2</x:v>
      </x:c>
      <x:c r="D65" t="str">
        <x:v>Gateway</x:v>
      </x:c>
    </x:row>
    <x:row r="66">
      <x:c r="A66" t="str">
        <x:v>SWRS-GA-001</x:v>
      </x:c>
      <x:c r="B66" t="str">
        <x:v>TC-GA-LOG-001</x:v>
      </x:c>
      <x:c r="C66" t="str">
        <x:v>P2</x:v>
      </x:c>
      <x:c r="D66" t="str">
        <x:v>Gateway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1c0f96a30a54c91"/>
  </x:tableParts>
</x:worksheet>
</file>